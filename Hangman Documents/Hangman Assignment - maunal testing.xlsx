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Gareth\Gareth\Hangman Assignment\"/>
    </mc:Choice>
  </mc:AlternateContent>
  <bookViews>
    <workbookView xWindow="0" yWindow="0" windowWidth="19200" windowHeight="11490" tabRatio="537"/>
  </bookViews>
  <sheets>
    <sheet name="Test Case" sheetId="1" r:id="rId1"/>
    <sheet name="Test Data Excessive" sheetId="2" state="hidden"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8" i="2" l="1"/>
  <c r="I49" i="2" s="1"/>
  <c r="M49" i="2"/>
  <c r="L49" i="2"/>
  <c r="K49" i="2"/>
  <c r="J49" i="2"/>
  <c r="H49" i="2"/>
  <c r="G49" i="2"/>
  <c r="F49" i="2"/>
  <c r="M48" i="2"/>
  <c r="L48" i="2"/>
  <c r="K48" i="2"/>
  <c r="J48" i="2"/>
  <c r="H48" i="2"/>
  <c r="G48" i="2"/>
  <c r="F48" i="2"/>
  <c r="B51" i="2"/>
  <c r="C51" i="2"/>
  <c r="D51" i="2"/>
  <c r="E51" i="2"/>
  <c r="C49" i="2"/>
  <c r="D49" i="2"/>
  <c r="E49" i="2"/>
  <c r="B49" i="2"/>
  <c r="N51" i="2"/>
  <c r="N48" i="2"/>
  <c r="N49" i="2" s="1"/>
  <c r="N37" i="2"/>
  <c r="J51" i="2"/>
  <c r="H51" i="2"/>
  <c r="M51" i="2"/>
  <c r="L51" i="2"/>
  <c r="K51" i="2"/>
  <c r="I51" i="2"/>
  <c r="G51" i="2"/>
  <c r="F51" i="2"/>
  <c r="M37" i="2"/>
  <c r="L37" i="2"/>
  <c r="K37" i="2"/>
  <c r="J37" i="2"/>
  <c r="I37" i="2"/>
  <c r="H37" i="2"/>
  <c r="G37" i="2"/>
  <c r="F37" i="2"/>
  <c r="E37" i="2"/>
  <c r="D37" i="2"/>
  <c r="C37" i="2"/>
  <c r="B37" i="2"/>
  <c r="Z50" i="2"/>
  <c r="Z51" i="2" s="1"/>
  <c r="Z37" i="2"/>
  <c r="Y50" i="2"/>
  <c r="Y51" i="2" s="1"/>
  <c r="Y37" i="2"/>
  <c r="X50" i="2"/>
  <c r="X51" i="2" s="1"/>
  <c r="X37" i="2"/>
  <c r="W50" i="2"/>
  <c r="W51" i="2" s="1"/>
  <c r="W37" i="2"/>
  <c r="V50" i="2"/>
  <c r="V51" i="2" s="1"/>
  <c r="V37" i="2"/>
  <c r="U50" i="2"/>
  <c r="U51" i="2" s="1"/>
  <c r="U37" i="2"/>
  <c r="T50" i="2"/>
  <c r="T51" i="2" s="1"/>
  <c r="T37" i="2"/>
  <c r="S50" i="2"/>
  <c r="S51" i="2" s="1"/>
  <c r="S37" i="2"/>
  <c r="R51" i="2"/>
  <c r="R37" i="2"/>
  <c r="Q51" i="2"/>
  <c r="Q37" i="2"/>
  <c r="P51" i="2"/>
  <c r="P37" i="2"/>
  <c r="O51" i="2"/>
  <c r="O37" i="2"/>
  <c r="B24" i="2" l="1"/>
  <c r="AJ23" i="2" l="1"/>
  <c r="AJ24" i="2" s="1"/>
  <c r="AI23" i="2"/>
  <c r="AI24" i="2" s="1"/>
  <c r="AH23" i="2"/>
  <c r="AH24" i="2" s="1"/>
  <c r="AG23" i="2"/>
  <c r="AG24" i="2" s="1"/>
  <c r="AF23" i="2"/>
  <c r="AF24" i="2" s="1"/>
  <c r="AE23" i="2"/>
  <c r="AE24" i="2" s="1"/>
  <c r="AI10" i="2"/>
  <c r="AH10" i="2"/>
  <c r="AG10" i="2"/>
  <c r="AF10" i="2"/>
  <c r="AE10" i="2"/>
  <c r="Z23" i="2"/>
  <c r="Z24" i="2" s="1"/>
  <c r="Y23" i="2"/>
  <c r="Y24" i="2" s="1"/>
  <c r="X23" i="2"/>
  <c r="X24" i="2" s="1"/>
  <c r="W23" i="2"/>
  <c r="W24" i="2" s="1"/>
  <c r="V23" i="2"/>
  <c r="V24" i="2" s="1"/>
  <c r="U23" i="2"/>
  <c r="U24" i="2" s="1"/>
  <c r="Y10" i="2"/>
  <c r="X10" i="2"/>
  <c r="W10" i="2"/>
  <c r="V10" i="2"/>
  <c r="U10" i="2"/>
  <c r="K23" i="2"/>
  <c r="K24" i="2" s="1"/>
  <c r="J23" i="2"/>
  <c r="J24" i="2" s="1"/>
  <c r="I23" i="2"/>
  <c r="I24" i="2" s="1"/>
  <c r="H23" i="2"/>
  <c r="G23" i="2" s="1"/>
  <c r="G24" i="2" s="1"/>
  <c r="K10" i="2"/>
  <c r="J10" i="2"/>
  <c r="I10" i="2"/>
  <c r="H10" i="2"/>
  <c r="G10" i="2"/>
  <c r="F24" i="2"/>
  <c r="E24" i="2"/>
  <c r="D24" i="2"/>
  <c r="C24" i="2"/>
  <c r="F10" i="2"/>
  <c r="E10" i="2"/>
  <c r="D10" i="2"/>
  <c r="C10" i="2"/>
  <c r="B10" i="2"/>
  <c r="AO23" i="2"/>
  <c r="AO24" i="2" s="1"/>
  <c r="AO10" i="2"/>
  <c r="AN23" i="2"/>
  <c r="AN24" i="2" s="1"/>
  <c r="AN10" i="2"/>
  <c r="AM23" i="2"/>
  <c r="AM24" i="2" s="1"/>
  <c r="AM10" i="2"/>
  <c r="AL23" i="2"/>
  <c r="AL24" i="2" s="1"/>
  <c r="AL10" i="2"/>
  <c r="AK23" i="2"/>
  <c r="AK24" i="2" s="1"/>
  <c r="AK10" i="2"/>
  <c r="AJ10" i="2"/>
  <c r="AD23" i="2"/>
  <c r="AD24" i="2" s="1"/>
  <c r="AD10" i="2"/>
  <c r="AB23" i="2"/>
  <c r="AB24" i="2" s="1"/>
  <c r="AC23" i="2"/>
  <c r="AC24" i="2" s="1"/>
  <c r="AC10" i="2"/>
  <c r="AB10" i="2"/>
  <c r="AA23" i="2"/>
  <c r="AA24" i="2" s="1"/>
  <c r="AA10" i="2"/>
  <c r="Z10" i="2"/>
  <c r="T23" i="2"/>
  <c r="T24" i="2" s="1"/>
  <c r="T10" i="2"/>
  <c r="S23" i="2"/>
  <c r="S24" i="2" s="1"/>
  <c r="S10" i="2"/>
  <c r="R23" i="2"/>
  <c r="R24" i="2" s="1"/>
  <c r="Q23" i="2"/>
  <c r="Q24" i="2" s="1"/>
  <c r="R10" i="2"/>
  <c r="Q10" i="2"/>
  <c r="P23" i="2"/>
  <c r="P24" i="2" s="1"/>
  <c r="P10" i="2"/>
  <c r="O23" i="2"/>
  <c r="O24" i="2" s="1"/>
  <c r="O10" i="2"/>
  <c r="N24" i="2"/>
  <c r="N10" i="2"/>
  <c r="M24" i="2"/>
  <c r="M10" i="2"/>
  <c r="L24" i="2"/>
  <c r="L10" i="2"/>
  <c r="H24" i="2" l="1"/>
</calcChain>
</file>

<file path=xl/sharedStrings.xml><?xml version="1.0" encoding="utf-8"?>
<sst xmlns="http://schemas.openxmlformats.org/spreadsheetml/2006/main" count="922" uniqueCount="162">
  <si>
    <t>Test ID</t>
  </si>
  <si>
    <t>Expected Result</t>
  </si>
  <si>
    <t>Actual Result</t>
  </si>
  <si>
    <t>Reasons For Testing</t>
  </si>
  <si>
    <t>Comments</t>
  </si>
  <si>
    <t>Test Data</t>
  </si>
  <si>
    <t>Pass || Fail</t>
  </si>
  <si>
    <t>Requirements</t>
  </si>
  <si>
    <t>Input</t>
  </si>
  <si>
    <t>First</t>
  </si>
  <si>
    <t>Last</t>
  </si>
  <si>
    <t>Address 1</t>
  </si>
  <si>
    <t>Address 2</t>
  </si>
  <si>
    <t>Address 3</t>
  </si>
  <si>
    <t>Postcode</t>
  </si>
  <si>
    <t>Tel No</t>
  </si>
  <si>
    <t>DOB</t>
  </si>
  <si>
    <t>Cover Type</t>
  </si>
  <si>
    <t>Make and Model</t>
  </si>
  <si>
    <t>Year First Reg</t>
  </si>
  <si>
    <t>Engine CC</t>
  </si>
  <si>
    <t>Reg No</t>
  </si>
  <si>
    <t>Valuation</t>
  </si>
  <si>
    <t>Estimated Annual Millage</t>
  </si>
  <si>
    <t>Claim In The Last 5 Years</t>
  </si>
  <si>
    <t>Result</t>
  </si>
  <si>
    <t>Annual Premium</t>
  </si>
  <si>
    <t>Monthly Premium</t>
  </si>
  <si>
    <t>Annual Third Party</t>
  </si>
  <si>
    <t>Monthly Third Party</t>
  </si>
  <si>
    <t>John</t>
  </si>
  <si>
    <t>Doe</t>
  </si>
  <si>
    <t>Lifford</t>
  </si>
  <si>
    <t>Co.Donegal</t>
  </si>
  <si>
    <t>F87 G642</t>
  </si>
  <si>
    <t>Third Party</t>
  </si>
  <si>
    <t>Common</t>
  </si>
  <si>
    <t>Ford Fiesta</t>
  </si>
  <si>
    <t>GV0K HKK</t>
  </si>
  <si>
    <t>No</t>
  </si>
  <si>
    <t>&lt;25/NoClaim/ClassA/&gt;6000/ThirdParty</t>
  </si>
  <si>
    <t>&lt;25/NoClaim/ClassB/&gt;6000/ThirdParty</t>
  </si>
  <si>
    <t>&lt;25/NoClaim/ClassC/&gt;6000/ThirdParty</t>
  </si>
  <si>
    <t>&lt;25/NoClaim/ClassD/&gt;6000/ThirdParty</t>
  </si>
  <si>
    <t>Test Specifications</t>
  </si>
  <si>
    <t>&lt;25/NoClaim/ClassE/&gt;6000/ThirdParty</t>
  </si>
  <si>
    <t>&lt;25/NoClaim/ClassA/&lt;6000/ThirdParty</t>
  </si>
  <si>
    <t>&lt;25/NoClaim/ClassB/&lt;6000/ThirdParty</t>
  </si>
  <si>
    <t>&lt;25/NoClaim/ClassC/&lt;6000/ThirdParty</t>
  </si>
  <si>
    <t>&lt;25/NoClaim/ClassD/&lt;6000/ThirdParty</t>
  </si>
  <si>
    <t>&lt;25/NoClaim/ClassE/&lt;6000/ThirdParty</t>
  </si>
  <si>
    <t>&gt;25/NoClaim/ClassA/&gt;6000/ThirdParty</t>
  </si>
  <si>
    <r>
      <t>&gt;25/NoClaim/Class</t>
    </r>
    <r>
      <rPr>
        <sz val="11"/>
        <color theme="1"/>
        <rFont val="Calibri"/>
        <family val="2"/>
        <scheme val="minor"/>
      </rPr>
      <t>B</t>
    </r>
    <r>
      <rPr>
        <b/>
        <sz val="11"/>
        <color theme="1"/>
        <rFont val="Calibri"/>
        <family val="2"/>
        <scheme val="minor"/>
      </rPr>
      <t>/&gt;6000/ThirdParty</t>
    </r>
  </si>
  <si>
    <t>&gt;25/NoClaim/ClassC/&gt;6000/ThirdParty</t>
  </si>
  <si>
    <t>&gt;25/NoClaim/ClassD/&gt;6000/ThirdParty</t>
  </si>
  <si>
    <t>&gt;25/NoClaim/ClassE/&gt;6000/ThirdParty</t>
  </si>
  <si>
    <t>&gt;25/NoClaim/ClassA/&lt;6000/ThirdParty</t>
  </si>
  <si>
    <t>&gt;25/NoClaim/ClassB/&lt;6000/ThirdParty</t>
  </si>
  <si>
    <t>&gt;25/NoClaim/ClassC/&lt;6000/ThirdParty</t>
  </si>
  <si>
    <t>&gt;25/NoClaim/ClassD/&lt;6000/ThirdParty</t>
  </si>
  <si>
    <t>&gt;25/NoClaim/ClassE/&lt;6000/ThirdParty</t>
  </si>
  <si>
    <t>Yes</t>
  </si>
  <si>
    <t>&lt;25/Claim/ClassB/&gt;6000/ThirdParty</t>
  </si>
  <si>
    <t>&lt;25/Claim/ClassC/&gt;6000/ThirdParty</t>
  </si>
  <si>
    <t>&lt;25/Claim/ClassD/&gt;6000/ThirdParty</t>
  </si>
  <si>
    <t>&lt;25/Claim/ClassE/&gt;6000/ThirdParty</t>
  </si>
  <si>
    <t>&gt;25/Claim/ClassA/&lt;6000/ThirdParty</t>
  </si>
  <si>
    <t>&lt;25/Claim/ClassA/&lt;6000/ThirdParty</t>
  </si>
  <si>
    <t>&lt;25/Claim/ClassB/&lt;6000/ThirdParty</t>
  </si>
  <si>
    <t>&lt;25/Claim/ClassC/&lt;6000/ThirdParty</t>
  </si>
  <si>
    <t>&lt;25/Claim/ClassD/&lt;6000/ThirdParty</t>
  </si>
  <si>
    <t>&lt;25/Claim/ClassE/&lt;6000/ThirdParty</t>
  </si>
  <si>
    <t>&gt;25/Claim/ClassA/&gt;6000/ThirdParty</t>
  </si>
  <si>
    <r>
      <t>&gt;25/Claim/Class</t>
    </r>
    <r>
      <rPr>
        <sz val="11"/>
        <color theme="1"/>
        <rFont val="Calibri"/>
        <family val="2"/>
        <scheme val="minor"/>
      </rPr>
      <t>B</t>
    </r>
    <r>
      <rPr>
        <b/>
        <sz val="11"/>
        <color theme="1"/>
        <rFont val="Calibri"/>
        <family val="2"/>
        <scheme val="minor"/>
      </rPr>
      <t>/&gt;6000/ThirdParty</t>
    </r>
  </si>
  <si>
    <t>&gt;25/Claim/ClassC/&gt;6000/ThirdParty</t>
  </si>
  <si>
    <t>&gt;25/Claim/ClassD/&gt;6000/ThirdParty</t>
  </si>
  <si>
    <r>
      <t>&gt;25/Claim/Class</t>
    </r>
    <r>
      <rPr>
        <sz val="11"/>
        <color theme="1"/>
        <rFont val="Calibri"/>
        <family val="2"/>
        <scheme val="minor"/>
      </rPr>
      <t>B</t>
    </r>
    <r>
      <rPr>
        <b/>
        <sz val="11"/>
        <color theme="1"/>
        <rFont val="Calibri"/>
        <family val="2"/>
        <scheme val="minor"/>
      </rPr>
      <t>/&lt;6000/ThirdParty</t>
    </r>
  </si>
  <si>
    <t>&gt;25/Claim/ClassC/&lt;6000/ThirdParty</t>
  </si>
  <si>
    <t>&gt;25/Claim/ClassD/&lt;6000/ThirdParty</t>
  </si>
  <si>
    <t>&lt;25/Claim/ClassA/&gt;6000/ThirdParty</t>
  </si>
  <si>
    <t>TID</t>
  </si>
  <si>
    <t>&lt;25/Claim/ClassA/&gt;6000/Comprehensive</t>
  </si>
  <si>
    <t>Comprehensive</t>
  </si>
  <si>
    <t>&lt;25/NoClaim/ClassA/&gt;6000/Comprehensive</t>
  </si>
  <si>
    <t>&gt;25/Claim/ClassA/&gt;6000/Comprehensive</t>
  </si>
  <si>
    <t>&lt;25/NoClaim/ClassE/&gt;6000/Comprehensive</t>
  </si>
  <si>
    <t>&lt;25/NoClaim/ClassD/&gt;6000/Comprehensive</t>
  </si>
  <si>
    <t>&lt;25/NoClaim/ClassC/&gt;6000/Comprehensive</t>
  </si>
  <si>
    <t>&lt;25/NoClaim/ClassB/&gt;6000/Comprehensive</t>
  </si>
  <si>
    <t>&gt;25/NoClaim/ClassA/&gt;6000/Comprehensive</t>
  </si>
  <si>
    <r>
      <t>&gt;25/NoClaim/Class</t>
    </r>
    <r>
      <rPr>
        <sz val="11"/>
        <color theme="1"/>
        <rFont val="Calibri"/>
        <family val="2"/>
        <scheme val="minor"/>
      </rPr>
      <t>B</t>
    </r>
    <r>
      <rPr>
        <b/>
        <sz val="11"/>
        <color theme="1"/>
        <rFont val="Calibri"/>
        <family val="2"/>
        <scheme val="minor"/>
      </rPr>
      <t>/&gt;6000/Comprehensive</t>
    </r>
  </si>
  <si>
    <t>&gt;25/NoClaim/ClassC/&gt;6000/Comprehensive</t>
  </si>
  <si>
    <t>&gt;25/NoClaim/ClassD/&gt;6000/Comprehensive</t>
  </si>
  <si>
    <t>&gt;25/NoClaim/ClassE/&gt;6000/Comprehensive</t>
  </si>
  <si>
    <t>&gt;25/NoClaim/ClassD/&lt;6000/Comprehensive</t>
  </si>
  <si>
    <t>See Test Data Sheet</t>
  </si>
  <si>
    <t>Fail</t>
  </si>
  <si>
    <t>Pass</t>
  </si>
  <si>
    <t>Steps Taken</t>
  </si>
  <si>
    <t>Error Code</t>
  </si>
  <si>
    <t>Testers Name:</t>
  </si>
  <si>
    <t>Gareth Craig</t>
  </si>
  <si>
    <t>Check if user guessing wrong, adds to wrong choice counter.</t>
  </si>
  <si>
    <t>Check if data being pulled in is correct.</t>
  </si>
  <si>
    <t>Check if data being pulled in is changed to underscores correctly.</t>
  </si>
  <si>
    <t>Input wrong choice 10 times.</t>
  </si>
  <si>
    <t>Link .txt file, check debugger for List Array values to see if they match the text file contents.</t>
  </si>
  <si>
    <t>Input correct word.</t>
  </si>
  <si>
    <t>Input alphabetical character as a choice.</t>
  </si>
  <si>
    <t>Input non alphanumerical character as a choice.</t>
  </si>
  <si>
    <t>Input "a", input "a" choice again.</t>
  </si>
  <si>
    <t>You have already used letter a. Enter a new letter</t>
  </si>
  <si>
    <t>Sorry, you lose :(</t>
  </si>
  <si>
    <t>Data from the movies.txt file to be read in correctly.</t>
  </si>
  <si>
    <t>To display current guessed letters and correct guesses if any or underscores if non are correct.</t>
  </si>
  <si>
    <t>Does not display hangman underscores, displays incorrect guesses and letters.</t>
  </si>
  <si>
    <t>That all letters where being replaced by underscore characters.</t>
  </si>
  <si>
    <t>Check if hangman progress display is displayed after every guess.</t>
  </si>
  <si>
    <t>Check debugger to see if "convertingMovieArrayToUnderscoreArray" method is replacing characters with underscores.</t>
  </si>
  <si>
    <t>Check debugger to see if "addingWhitespaceAfterEveryCharInMovieChoice" method is adding whitespace where needed.</t>
  </si>
  <si>
    <t>Check if movie is same length as underscore converted movie.</t>
  </si>
  <si>
    <t>Congrats! You won!</t>
  </si>
  <si>
    <t>That all letters were being replaced by underscore characters.</t>
  </si>
  <si>
    <t>That a whitespace was being added after each character.</t>
  </si>
  <si>
    <t>Please enter an alphabetical character.</t>
  </si>
  <si>
    <t>Check if user inputting a alphabetical character is counted as a valid guess.</t>
  </si>
  <si>
    <t>Check if user inputting a non alphanumerical character is counted as a guess.</t>
  </si>
  <si>
    <t>If user guesses correct or wrong for the first choice, it won't display the initial guess since the variable was not filled with data. It will only display when the user guesses a correct letter in the movie.</t>
  </si>
  <si>
    <t>Check if user inputting a numerical character is counted as a guess.</t>
  </si>
  <si>
    <t>That it searches the movie for the matching letter.</t>
  </si>
  <si>
    <t>That it searches the movie for the matching character.</t>
  </si>
  <si>
    <t>Made the above changes to the code.</t>
  </si>
  <si>
    <t>Check if user inputting a capital letter will affect the letter detection.</t>
  </si>
  <si>
    <t>Input "A".</t>
  </si>
  <si>
    <t>That it runs the check with no issues.</t>
  </si>
  <si>
    <t>That it runs the cehck with no issues.</t>
  </si>
  <si>
    <t>Check if users previously entered characters are displayed on screen.</t>
  </si>
  <si>
    <t>Input "a".</t>
  </si>
  <si>
    <t>USED LETTERS = a,</t>
  </si>
  <si>
    <t>Check if user inputting previously entered character prompts message.</t>
  </si>
  <si>
    <t>Check if final guessed correct character displays game over screen.</t>
  </si>
  <si>
    <t>Input "1".</t>
  </si>
  <si>
    <r>
      <t xml:space="preserve">Date: </t>
    </r>
    <r>
      <rPr>
        <sz val="11"/>
        <color theme="1"/>
        <rFont val="Calibri"/>
        <family val="2"/>
        <scheme val="minor"/>
      </rPr>
      <t>09/12/2019</t>
    </r>
  </si>
  <si>
    <t>Need to add in an else if statement on the user input field that prohibits the use of non alphabetical characters.</t>
  </si>
  <si>
    <t>"a"</t>
  </si>
  <si>
    <t>"a", "s", "d", "f", "g", "h" , "j", "k", "l", "p".</t>
  </si>
  <si>
    <t>Input "b", input "q", input "a", input "i".</t>
  </si>
  <si>
    <t>Check what happens if data file has no content.</t>
  </si>
  <si>
    <t>Run programme.</t>
  </si>
  <si>
    <t>Check if data file not found.</t>
  </si>
  <si>
    <t>Exception in thread "main" java.lang.IllegalArgumentException: bound must be positive</t>
  </si>
  <si>
    <t>No data to display to the user.</t>
  </si>
  <si>
    <t>movies.txt</t>
  </si>
  <si>
    <t>"q"</t>
  </si>
  <si>
    <t>"1"</t>
  </si>
  <si>
    <t>"b"</t>
  </si>
  <si>
    <t>":"</t>
  </si>
  <si>
    <t>"b", "q", "a", "i".</t>
  </si>
  <si>
    <t>Selected movie from movies.txt</t>
  </si>
  <si>
    <t>"A".</t>
  </si>
  <si>
    <t>File not found</t>
  </si>
  <si>
    <t xml:space="preserve">File not found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</si>
</sst>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Red]\-&quot;€&quot;#,##0"/>
    <numFmt numFmtId="8" formatCode="&quot;€&quot;#,##0.00;[Red]\-&quot;€&quot;#,##0.00"/>
  </numFmts>
  <fonts count="3" x14ac:knownFonts="1">
    <font>
      <sz val="11"/>
      <color theme="1"/>
      <name val="Calibri"/>
      <family val="2"/>
      <scheme val="minor"/>
    </font>
    <font>
      <b/>
      <sz val="11"/>
      <color theme="1"/>
      <name val="Calibri"/>
      <family val="2"/>
      <scheme val="minor"/>
    </font>
    <font>
      <sz val="11"/>
      <name val="Calibri"/>
      <family val="2"/>
      <scheme val="minor"/>
    </font>
  </fonts>
  <fills count="17">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45">
    <xf numFmtId="0" fontId="0" fillId="0" borderId="0" xfId="0"/>
    <xf numFmtId="0" fontId="0" fillId="0" borderId="0" xfId="0" applyAlignment="1">
      <alignment horizontal="left"/>
    </xf>
    <xf numFmtId="6" fontId="0" fillId="4" borderId="0" xfId="0" applyNumberFormat="1" applyFill="1" applyAlignment="1">
      <alignment horizontal="left"/>
    </xf>
    <xf numFmtId="8" fontId="0" fillId="4" borderId="0" xfId="0" applyNumberFormat="1" applyFill="1" applyAlignment="1">
      <alignment horizontal="left"/>
    </xf>
    <xf numFmtId="6" fontId="0" fillId="5" borderId="0" xfId="0" applyNumberFormat="1" applyFill="1" applyAlignment="1">
      <alignment horizontal="left"/>
    </xf>
    <xf numFmtId="8" fontId="0" fillId="5" borderId="0" xfId="0" applyNumberFormat="1" applyFill="1" applyAlignment="1">
      <alignment horizontal="left"/>
    </xf>
    <xf numFmtId="0" fontId="0" fillId="9" borderId="0" xfId="0" applyFill="1" applyAlignment="1">
      <alignment horizontal="left"/>
    </xf>
    <xf numFmtId="14" fontId="0" fillId="9" borderId="0" xfId="0" applyNumberFormat="1" applyFill="1" applyAlignment="1">
      <alignment horizontal="left"/>
    </xf>
    <xf numFmtId="6" fontId="0" fillId="9" borderId="0" xfId="0" applyNumberFormat="1" applyFill="1" applyAlignment="1">
      <alignment horizontal="left"/>
    </xf>
    <xf numFmtId="0" fontId="0" fillId="10" borderId="0" xfId="0" applyFill="1" applyAlignment="1">
      <alignment horizontal="left"/>
    </xf>
    <xf numFmtId="14" fontId="0" fillId="10" borderId="0" xfId="0" applyNumberFormat="1" applyFill="1" applyAlignment="1">
      <alignment horizontal="left"/>
    </xf>
    <xf numFmtId="6" fontId="0" fillId="10" borderId="0" xfId="0" applyNumberFormat="1" applyFill="1" applyAlignment="1">
      <alignment horizontal="left"/>
    </xf>
    <xf numFmtId="6" fontId="0" fillId="11" borderId="0" xfId="0" applyNumberFormat="1" applyFill="1" applyAlignment="1">
      <alignment horizontal="left"/>
    </xf>
    <xf numFmtId="6" fontId="0" fillId="12" borderId="0" xfId="0" applyNumberFormat="1" applyFill="1" applyAlignment="1">
      <alignment horizontal="left"/>
    </xf>
    <xf numFmtId="8" fontId="0" fillId="11" borderId="0" xfId="0" applyNumberFormat="1" applyFill="1" applyAlignment="1">
      <alignment horizontal="left"/>
    </xf>
    <xf numFmtId="0" fontId="1" fillId="6" borderId="0" xfId="0" applyFont="1" applyFill="1"/>
    <xf numFmtId="0" fontId="1" fillId="8" borderId="0" xfId="0" applyFont="1" applyFill="1"/>
    <xf numFmtId="0" fontId="1" fillId="8" borderId="0" xfId="0" applyFont="1" applyFill="1" applyAlignment="1">
      <alignment horizontal="center"/>
    </xf>
    <xf numFmtId="0" fontId="1" fillId="6" borderId="0" xfId="0" applyFont="1" applyFill="1" applyAlignment="1">
      <alignment horizontal="center"/>
    </xf>
    <xf numFmtId="8" fontId="0" fillId="12" borderId="0" xfId="0" applyNumberFormat="1" applyFill="1" applyAlignment="1">
      <alignment horizontal="left"/>
    </xf>
    <xf numFmtId="0" fontId="1" fillId="7" borderId="0" xfId="0" applyFont="1" applyFill="1"/>
    <xf numFmtId="0" fontId="1" fillId="13" borderId="0" xfId="0" applyFont="1" applyFill="1"/>
    <xf numFmtId="0" fontId="1" fillId="8" borderId="0" xfId="0" applyFont="1" applyFill="1" applyAlignment="1">
      <alignment wrapText="1"/>
    </xf>
    <xf numFmtId="0" fontId="1" fillId="8" borderId="0" xfId="0" applyFont="1" applyFill="1" applyAlignment="1">
      <alignment horizontal="center" wrapText="1"/>
    </xf>
    <xf numFmtId="0" fontId="0" fillId="0" borderId="0" xfId="0" applyAlignment="1">
      <alignment wrapText="1"/>
    </xf>
    <xf numFmtId="8" fontId="0" fillId="9" borderId="0" xfId="0" applyNumberFormat="1" applyFill="1" applyAlignment="1">
      <alignment horizontal="left"/>
    </xf>
    <xf numFmtId="8" fontId="0" fillId="10" borderId="0" xfId="0" applyNumberFormat="1" applyFill="1" applyAlignment="1">
      <alignment horizontal="left"/>
    </xf>
    <xf numFmtId="0" fontId="0" fillId="0" borderId="0" xfId="0" applyFill="1" applyAlignment="1">
      <alignment horizontal="left"/>
    </xf>
    <xf numFmtId="0" fontId="1" fillId="8" borderId="0" xfId="0" applyFont="1" applyFill="1" applyAlignment="1">
      <alignment vertical="top" wrapText="1"/>
    </xf>
    <xf numFmtId="0" fontId="0" fillId="6" borderId="0" xfId="0" applyFill="1" applyAlignment="1">
      <alignment vertical="top"/>
    </xf>
    <xf numFmtId="0" fontId="0" fillId="9" borderId="0" xfId="0" applyFill="1" applyAlignment="1">
      <alignment vertical="top"/>
    </xf>
    <xf numFmtId="0" fontId="0" fillId="10" borderId="0" xfId="0" applyFill="1" applyAlignment="1">
      <alignment vertical="top"/>
    </xf>
    <xf numFmtId="0" fontId="0" fillId="11" borderId="0" xfId="0" applyFill="1" applyAlignment="1">
      <alignment vertical="top"/>
    </xf>
    <xf numFmtId="0" fontId="0" fillId="6" borderId="0" xfId="0" applyFill="1" applyAlignment="1">
      <alignment vertical="top" wrapText="1"/>
    </xf>
    <xf numFmtId="0" fontId="2" fillId="3" borderId="0" xfId="0" applyFont="1" applyFill="1" applyAlignment="1">
      <alignment horizontal="center" vertical="center"/>
    </xf>
    <xf numFmtId="0" fontId="0" fillId="8" borderId="0" xfId="0" applyFill="1" applyAlignment="1">
      <alignment horizontal="center" vertical="top"/>
    </xf>
    <xf numFmtId="0" fontId="0" fillId="14" borderId="0" xfId="0" applyFill="1" applyAlignment="1">
      <alignment horizontal="center" vertical="center"/>
    </xf>
    <xf numFmtId="0" fontId="1" fillId="15" borderId="0" xfId="0" applyFont="1" applyFill="1"/>
    <xf numFmtId="0" fontId="0" fillId="15" borderId="0" xfId="0" applyFill="1"/>
    <xf numFmtId="0" fontId="0" fillId="0" borderId="0" xfId="0" applyAlignment="1">
      <alignment vertical="top"/>
    </xf>
    <xf numFmtId="0" fontId="2" fillId="2" borderId="0" xfId="0" applyFont="1" applyFill="1" applyAlignment="1">
      <alignment horizontal="center" vertical="center"/>
    </xf>
    <xf numFmtId="0" fontId="0" fillId="10" borderId="0" xfId="0" applyFill="1" applyAlignment="1">
      <alignment vertical="top" wrapText="1"/>
    </xf>
    <xf numFmtId="0" fontId="0" fillId="11" borderId="0" xfId="0" applyFill="1" applyAlignment="1">
      <alignment vertical="top" wrapText="1"/>
    </xf>
    <xf numFmtId="14" fontId="0" fillId="16" borderId="0" xfId="0" applyNumberFormat="1" applyFill="1" applyAlignment="1">
      <alignment horizontal="left"/>
    </xf>
    <xf numFmtId="0" fontId="0" fillId="9" borderId="0" xfId="0" applyFill="1" applyAlignment="1">
      <alignment vertical="top" wrapText="1"/>
    </xf>
  </cellXfs>
  <cellStyles count="1">
    <cellStyle name="Normal" xfId="0" builtinId="0"/>
  </cellStyles>
  <dxfs count="0"/>
  <tableStyles count="0" defaultTableStyle="TableStyleMedium2" defaultPivotStyle="PivotStyleLight16"/>
  <colors>
    <mruColors>
      <color rgb="FFF8A2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
  <sheetViews>
    <sheetView tabSelected="1" topLeftCell="A7" zoomScale="90" zoomScaleNormal="90" workbookViewId="0">
      <selection activeCell="E29" sqref="D29:E29"/>
    </sheetView>
  </sheetViews>
  <sheetFormatPr defaultRowHeight="15" x14ac:dyDescent="0.25"/>
  <cols>
    <col min="1" max="1" width="13.85546875" bestFit="1" customWidth="1"/>
    <col min="2" max="2" width="11.85546875" bestFit="1" customWidth="1"/>
    <col min="3" max="3" width="40.7109375" bestFit="1" customWidth="1"/>
    <col min="4" max="4" width="44.42578125" bestFit="1" customWidth="1"/>
    <col min="5" max="5" width="24.140625" style="24" bestFit="1" customWidth="1"/>
    <col min="6" max="6" width="54.28515625" bestFit="1" customWidth="1"/>
    <col min="7" max="8" width="58.5703125" bestFit="1" customWidth="1"/>
    <col min="9" max="9" width="22.140625" style="24" customWidth="1"/>
    <col min="10" max="10" width="17.140625" bestFit="1" customWidth="1"/>
  </cols>
  <sheetData>
    <row r="1" spans="1:9" x14ac:dyDescent="0.25">
      <c r="A1" s="37" t="s">
        <v>100</v>
      </c>
      <c r="B1" s="38" t="s">
        <v>101</v>
      </c>
      <c r="C1" s="37" t="s">
        <v>142</v>
      </c>
      <c r="D1" s="43"/>
    </row>
    <row r="2" spans="1:9" x14ac:dyDescent="0.25">
      <c r="A2" s="16" t="s">
        <v>99</v>
      </c>
      <c r="B2" s="17" t="s">
        <v>80</v>
      </c>
      <c r="C2" s="16" t="s">
        <v>3</v>
      </c>
      <c r="D2" s="22" t="s">
        <v>98</v>
      </c>
      <c r="E2" s="16" t="s">
        <v>5</v>
      </c>
      <c r="F2" s="16" t="s">
        <v>1</v>
      </c>
      <c r="G2" s="16" t="s">
        <v>2</v>
      </c>
      <c r="H2" s="22" t="s">
        <v>4</v>
      </c>
      <c r="I2" s="16" t="s">
        <v>6</v>
      </c>
    </row>
    <row r="3" spans="1:9" ht="30" x14ac:dyDescent="0.25">
      <c r="A3" s="36"/>
      <c r="B3" s="35">
        <v>1</v>
      </c>
      <c r="C3" s="33" t="s">
        <v>139</v>
      </c>
      <c r="D3" s="33" t="s">
        <v>110</v>
      </c>
      <c r="E3" s="30" t="s">
        <v>144</v>
      </c>
      <c r="F3" s="31" t="s">
        <v>111</v>
      </c>
      <c r="G3" s="32" t="s">
        <v>111</v>
      </c>
      <c r="H3" s="33"/>
      <c r="I3" s="40" t="s">
        <v>97</v>
      </c>
    </row>
    <row r="4" spans="1:9" ht="30" x14ac:dyDescent="0.25">
      <c r="A4" s="36"/>
      <c r="B4" s="35">
        <v>2</v>
      </c>
      <c r="C4" s="33" t="s">
        <v>102</v>
      </c>
      <c r="D4" s="33" t="s">
        <v>105</v>
      </c>
      <c r="E4" s="44" t="s">
        <v>145</v>
      </c>
      <c r="F4" s="31" t="s">
        <v>112</v>
      </c>
      <c r="G4" s="32" t="s">
        <v>112</v>
      </c>
      <c r="H4" s="33"/>
      <c r="I4" s="40" t="s">
        <v>97</v>
      </c>
    </row>
    <row r="5" spans="1:9" ht="45" x14ac:dyDescent="0.25">
      <c r="A5" s="36"/>
      <c r="B5" s="35">
        <v>3</v>
      </c>
      <c r="C5" s="29" t="s">
        <v>103</v>
      </c>
      <c r="D5" s="33" t="s">
        <v>106</v>
      </c>
      <c r="E5" s="30" t="s">
        <v>152</v>
      </c>
      <c r="F5" s="31" t="s">
        <v>113</v>
      </c>
      <c r="G5" s="32" t="s">
        <v>113</v>
      </c>
      <c r="H5" s="33"/>
      <c r="I5" s="40" t="s">
        <v>97</v>
      </c>
    </row>
    <row r="6" spans="1:9" ht="60" x14ac:dyDescent="0.25">
      <c r="A6" s="36"/>
      <c r="B6" s="35">
        <v>4</v>
      </c>
      <c r="C6" s="33" t="s">
        <v>104</v>
      </c>
      <c r="D6" s="33" t="s">
        <v>118</v>
      </c>
      <c r="E6" s="30" t="s">
        <v>152</v>
      </c>
      <c r="F6" s="41" t="s">
        <v>122</v>
      </c>
      <c r="G6" s="32" t="s">
        <v>116</v>
      </c>
      <c r="H6" s="33"/>
      <c r="I6" s="40" t="s">
        <v>97</v>
      </c>
    </row>
    <row r="7" spans="1:9" ht="30" x14ac:dyDescent="0.25">
      <c r="A7" s="36"/>
      <c r="B7" s="35">
        <v>5</v>
      </c>
      <c r="C7" s="33" t="s">
        <v>140</v>
      </c>
      <c r="D7" s="33" t="s">
        <v>107</v>
      </c>
      <c r="E7" s="30" t="s">
        <v>153</v>
      </c>
      <c r="F7" s="31" t="s">
        <v>121</v>
      </c>
      <c r="G7" s="32" t="s">
        <v>121</v>
      </c>
      <c r="H7" s="33"/>
      <c r="I7" s="40" t="s">
        <v>97</v>
      </c>
    </row>
    <row r="8" spans="1:9" ht="30" x14ac:dyDescent="0.25">
      <c r="A8" s="36"/>
      <c r="B8" s="35">
        <v>6</v>
      </c>
      <c r="C8" s="33" t="s">
        <v>128</v>
      </c>
      <c r="D8" s="33" t="s">
        <v>141</v>
      </c>
      <c r="E8" s="30" t="s">
        <v>154</v>
      </c>
      <c r="F8" s="31" t="s">
        <v>124</v>
      </c>
      <c r="G8" s="32" t="s">
        <v>124</v>
      </c>
      <c r="H8" s="33"/>
      <c r="I8" s="40" t="s">
        <v>97</v>
      </c>
    </row>
    <row r="9" spans="1:9" ht="30" x14ac:dyDescent="0.25">
      <c r="A9" s="36"/>
      <c r="B9" s="35">
        <v>7</v>
      </c>
      <c r="C9" s="33" t="s">
        <v>125</v>
      </c>
      <c r="D9" s="33" t="s">
        <v>108</v>
      </c>
      <c r="E9" s="30" t="s">
        <v>155</v>
      </c>
      <c r="F9" s="31" t="s">
        <v>129</v>
      </c>
      <c r="G9" s="32" t="s">
        <v>130</v>
      </c>
      <c r="H9" s="33"/>
      <c r="I9" s="40" t="s">
        <v>97</v>
      </c>
    </row>
    <row r="10" spans="1:9" ht="45" x14ac:dyDescent="0.25">
      <c r="A10" s="36"/>
      <c r="B10" s="35">
        <v>8</v>
      </c>
      <c r="C10" s="33" t="s">
        <v>126</v>
      </c>
      <c r="D10" s="33" t="s">
        <v>109</v>
      </c>
      <c r="E10" s="30" t="s">
        <v>156</v>
      </c>
      <c r="F10" s="31" t="s">
        <v>124</v>
      </c>
      <c r="G10" s="32" t="s">
        <v>130</v>
      </c>
      <c r="H10" s="33" t="s">
        <v>143</v>
      </c>
      <c r="I10" s="34" t="s">
        <v>96</v>
      </c>
    </row>
    <row r="11" spans="1:9" ht="45" x14ac:dyDescent="0.25">
      <c r="A11" s="36"/>
      <c r="B11" s="35">
        <v>8.1</v>
      </c>
      <c r="C11" s="33" t="s">
        <v>126</v>
      </c>
      <c r="D11" s="33" t="s">
        <v>109</v>
      </c>
      <c r="E11" s="30" t="s">
        <v>156</v>
      </c>
      <c r="F11" s="31" t="s">
        <v>124</v>
      </c>
      <c r="G11" s="32" t="s">
        <v>124</v>
      </c>
      <c r="H11" s="33" t="s">
        <v>131</v>
      </c>
      <c r="I11" s="40" t="s">
        <v>97</v>
      </c>
    </row>
    <row r="12" spans="1:9" ht="60" x14ac:dyDescent="0.25">
      <c r="A12" s="36"/>
      <c r="B12" s="35">
        <v>10</v>
      </c>
      <c r="C12" s="33" t="s">
        <v>117</v>
      </c>
      <c r="D12" s="33" t="s">
        <v>146</v>
      </c>
      <c r="E12" s="30" t="s">
        <v>157</v>
      </c>
      <c r="F12" s="41" t="s">
        <v>114</v>
      </c>
      <c r="G12" s="42" t="s">
        <v>115</v>
      </c>
      <c r="H12" s="33" t="s">
        <v>127</v>
      </c>
      <c r="I12" s="34" t="s">
        <v>96</v>
      </c>
    </row>
    <row r="13" spans="1:9" ht="60" x14ac:dyDescent="0.25">
      <c r="A13" s="36"/>
      <c r="B13" s="35">
        <v>11</v>
      </c>
      <c r="C13" s="33" t="s">
        <v>120</v>
      </c>
      <c r="D13" s="33" t="s">
        <v>119</v>
      </c>
      <c r="E13" s="44" t="s">
        <v>158</v>
      </c>
      <c r="F13" s="41" t="s">
        <v>123</v>
      </c>
      <c r="G13" s="32" t="s">
        <v>123</v>
      </c>
      <c r="H13" s="33"/>
      <c r="I13" s="40" t="s">
        <v>97</v>
      </c>
    </row>
    <row r="14" spans="1:9" ht="30" x14ac:dyDescent="0.25">
      <c r="A14" s="36"/>
      <c r="B14" s="35">
        <v>12</v>
      </c>
      <c r="C14" s="33" t="s">
        <v>132</v>
      </c>
      <c r="D14" s="33" t="s">
        <v>133</v>
      </c>
      <c r="E14" s="30" t="s">
        <v>159</v>
      </c>
      <c r="F14" s="31" t="s">
        <v>134</v>
      </c>
      <c r="G14" s="32" t="s">
        <v>135</v>
      </c>
      <c r="H14" s="33"/>
      <c r="I14" s="40" t="s">
        <v>97</v>
      </c>
    </row>
    <row r="15" spans="1:9" ht="30" x14ac:dyDescent="0.25">
      <c r="A15" s="36"/>
      <c r="B15" s="35">
        <v>13</v>
      </c>
      <c r="C15" s="33" t="s">
        <v>136</v>
      </c>
      <c r="D15" s="33" t="s">
        <v>137</v>
      </c>
      <c r="E15" s="30" t="s">
        <v>95</v>
      </c>
      <c r="F15" s="31" t="s">
        <v>138</v>
      </c>
      <c r="G15" s="32" t="s">
        <v>138</v>
      </c>
      <c r="H15" s="33"/>
      <c r="I15" s="40" t="s">
        <v>97</v>
      </c>
    </row>
    <row r="16" spans="1:9" ht="30" x14ac:dyDescent="0.25">
      <c r="A16" s="36"/>
      <c r="B16" s="35">
        <v>14</v>
      </c>
      <c r="C16" s="33" t="s">
        <v>149</v>
      </c>
      <c r="D16" s="33" t="s">
        <v>148</v>
      </c>
      <c r="E16" s="30" t="s">
        <v>95</v>
      </c>
      <c r="F16" s="31" t="s">
        <v>160</v>
      </c>
      <c r="G16" s="42" t="s">
        <v>161</v>
      </c>
      <c r="H16" s="33"/>
      <c r="I16" s="40" t="s">
        <v>97</v>
      </c>
    </row>
    <row r="17" spans="1:9" ht="30" x14ac:dyDescent="0.25">
      <c r="A17" s="36"/>
      <c r="B17" s="35">
        <v>15</v>
      </c>
      <c r="C17" s="33" t="s">
        <v>147</v>
      </c>
      <c r="D17" s="33" t="s">
        <v>148</v>
      </c>
      <c r="E17" s="30" t="s">
        <v>95</v>
      </c>
      <c r="F17" s="31" t="s">
        <v>151</v>
      </c>
      <c r="G17" s="42" t="s">
        <v>150</v>
      </c>
      <c r="H17" s="33"/>
      <c r="I17" s="34" t="s">
        <v>96</v>
      </c>
    </row>
    <row r="18" spans="1:9" x14ac:dyDescent="0.25">
      <c r="E18"/>
      <c r="I18"/>
    </row>
    <row r="19" spans="1:9" x14ac:dyDescent="0.25">
      <c r="E19"/>
      <c r="I19"/>
    </row>
    <row r="20" spans="1:9" x14ac:dyDescent="0.25">
      <c r="E20"/>
      <c r="I20"/>
    </row>
    <row r="21" spans="1:9" x14ac:dyDescent="0.25">
      <c r="E21"/>
      <c r="I21"/>
    </row>
    <row r="22" spans="1:9" x14ac:dyDescent="0.25">
      <c r="E22"/>
      <c r="I22"/>
    </row>
    <row r="23" spans="1:9" x14ac:dyDescent="0.25">
      <c r="E23"/>
      <c r="I23"/>
    </row>
    <row r="24" spans="1:9" x14ac:dyDescent="0.25">
      <c r="E24"/>
      <c r="I24"/>
    </row>
    <row r="25" spans="1:9" x14ac:dyDescent="0.25">
      <c r="E25"/>
      <c r="I25"/>
    </row>
    <row r="26" spans="1:9" x14ac:dyDescent="0.25">
      <c r="E26"/>
      <c r="I26"/>
    </row>
    <row r="27" spans="1:9" x14ac:dyDescent="0.25">
      <c r="E27"/>
      <c r="I27"/>
    </row>
    <row r="28" spans="1:9" x14ac:dyDescent="0.25">
      <c r="E28"/>
      <c r="I28"/>
    </row>
    <row r="29" spans="1:9" x14ac:dyDescent="0.25">
      <c r="E29"/>
      <c r="I29"/>
    </row>
    <row r="30" spans="1:9" x14ac:dyDescent="0.25">
      <c r="E30"/>
      <c r="I30"/>
    </row>
    <row r="31" spans="1:9" x14ac:dyDescent="0.25">
      <c r="A31" s="39"/>
      <c r="H31" s="39"/>
    </row>
    <row r="32" spans="1:9" x14ac:dyDescent="0.25">
      <c r="H32" s="39"/>
    </row>
    <row r="33" spans="8:8" x14ac:dyDescent="0.25">
      <c r="H33" s="39"/>
    </row>
    <row r="34" spans="8:8" x14ac:dyDescent="0.25">
      <c r="H34" s="39"/>
    </row>
  </sheetData>
  <pageMargins left="0.31496062992125984" right="0.31496062992125984" top="0.15748031496062992" bottom="0.15748031496062992" header="0.31496062992125984" footer="0.31496062992125984"/>
  <pageSetup paperSize="9" scale="4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51"/>
  <sheetViews>
    <sheetView topLeftCell="P10" zoomScale="70" zoomScaleNormal="70" workbookViewId="0">
      <selection activeCell="A28" sqref="A28:Z51"/>
    </sheetView>
  </sheetViews>
  <sheetFormatPr defaultRowHeight="15" x14ac:dyDescent="0.25"/>
  <cols>
    <col min="1" max="1" width="24" bestFit="1" customWidth="1"/>
    <col min="2" max="41" width="18" customWidth="1"/>
  </cols>
  <sheetData>
    <row r="1" spans="1:41" s="24" customFormat="1" ht="49.5" customHeight="1" x14ac:dyDescent="0.25">
      <c r="A1" s="22" t="s">
        <v>44</v>
      </c>
      <c r="B1" s="22" t="s">
        <v>79</v>
      </c>
      <c r="C1" s="22" t="s">
        <v>62</v>
      </c>
      <c r="D1" s="22" t="s">
        <v>63</v>
      </c>
      <c r="E1" s="22" t="s">
        <v>64</v>
      </c>
      <c r="F1" s="22" t="s">
        <v>65</v>
      </c>
      <c r="G1" s="22" t="s">
        <v>67</v>
      </c>
      <c r="H1" s="22" t="s">
        <v>68</v>
      </c>
      <c r="I1" s="22" t="s">
        <v>69</v>
      </c>
      <c r="J1" s="22" t="s">
        <v>70</v>
      </c>
      <c r="K1" s="22" t="s">
        <v>71</v>
      </c>
      <c r="L1" s="22" t="s">
        <v>40</v>
      </c>
      <c r="M1" s="22" t="s">
        <v>41</v>
      </c>
      <c r="N1" s="22" t="s">
        <v>42</v>
      </c>
      <c r="O1" s="22" t="s">
        <v>43</v>
      </c>
      <c r="P1" s="22" t="s">
        <v>45</v>
      </c>
      <c r="Q1" s="22" t="s">
        <v>46</v>
      </c>
      <c r="R1" s="22" t="s">
        <v>47</v>
      </c>
      <c r="S1" s="22" t="s">
        <v>48</v>
      </c>
      <c r="T1" s="22" t="s">
        <v>49</v>
      </c>
      <c r="U1" s="22" t="s">
        <v>50</v>
      </c>
      <c r="V1" s="22" t="s">
        <v>72</v>
      </c>
      <c r="W1" s="22" t="s">
        <v>73</v>
      </c>
      <c r="X1" s="22" t="s">
        <v>74</v>
      </c>
      <c r="Y1" s="22" t="s">
        <v>75</v>
      </c>
      <c r="Z1" s="22" t="s">
        <v>71</v>
      </c>
      <c r="AA1" s="22" t="s">
        <v>51</v>
      </c>
      <c r="AB1" s="22" t="s">
        <v>52</v>
      </c>
      <c r="AC1" s="22" t="s">
        <v>53</v>
      </c>
      <c r="AD1" s="22" t="s">
        <v>54</v>
      </c>
      <c r="AE1" s="22" t="s">
        <v>66</v>
      </c>
      <c r="AF1" s="22" t="s">
        <v>76</v>
      </c>
      <c r="AG1" s="22" t="s">
        <v>77</v>
      </c>
      <c r="AH1" s="22" t="s">
        <v>78</v>
      </c>
      <c r="AI1" s="22" t="s">
        <v>71</v>
      </c>
      <c r="AJ1" s="22" t="s">
        <v>55</v>
      </c>
      <c r="AK1" s="22" t="s">
        <v>56</v>
      </c>
      <c r="AL1" s="22" t="s">
        <v>57</v>
      </c>
      <c r="AM1" s="22" t="s">
        <v>58</v>
      </c>
      <c r="AN1" s="22" t="s">
        <v>59</v>
      </c>
      <c r="AO1" s="23" t="s">
        <v>60</v>
      </c>
    </row>
    <row r="2" spans="1:41" x14ac:dyDescent="0.25">
      <c r="A2" s="16" t="s">
        <v>0</v>
      </c>
      <c r="B2" s="17">
        <v>1</v>
      </c>
      <c r="C2" s="17">
        <v>2</v>
      </c>
      <c r="D2" s="17">
        <v>3</v>
      </c>
      <c r="E2" s="17">
        <v>4</v>
      </c>
      <c r="F2" s="17">
        <v>5</v>
      </c>
      <c r="G2" s="17">
        <v>6</v>
      </c>
      <c r="H2" s="17">
        <v>7</v>
      </c>
      <c r="I2" s="17">
        <v>8</v>
      </c>
      <c r="J2" s="17">
        <v>9</v>
      </c>
      <c r="K2" s="17">
        <v>10</v>
      </c>
      <c r="L2" s="17">
        <v>11</v>
      </c>
      <c r="M2" s="17">
        <v>12</v>
      </c>
      <c r="N2" s="17">
        <v>13</v>
      </c>
      <c r="O2" s="17">
        <v>14</v>
      </c>
      <c r="P2" s="17">
        <v>15</v>
      </c>
      <c r="Q2" s="17">
        <v>16</v>
      </c>
      <c r="R2" s="17">
        <v>17</v>
      </c>
      <c r="S2" s="17">
        <v>18</v>
      </c>
      <c r="T2" s="17">
        <v>19</v>
      </c>
      <c r="U2" s="17">
        <v>20</v>
      </c>
      <c r="V2" s="17">
        <v>21</v>
      </c>
      <c r="W2" s="17">
        <v>22</v>
      </c>
      <c r="X2" s="17">
        <v>23</v>
      </c>
      <c r="Y2" s="17">
        <v>24</v>
      </c>
      <c r="Z2" s="17">
        <v>25</v>
      </c>
      <c r="AA2" s="17">
        <v>26</v>
      </c>
      <c r="AB2" s="17">
        <v>27</v>
      </c>
      <c r="AC2" s="17">
        <v>28</v>
      </c>
      <c r="AD2" s="17">
        <v>29</v>
      </c>
      <c r="AE2" s="17">
        <v>30</v>
      </c>
      <c r="AF2" s="17">
        <v>31</v>
      </c>
      <c r="AG2" s="17">
        <v>32</v>
      </c>
      <c r="AH2" s="17">
        <v>33</v>
      </c>
      <c r="AI2" s="17">
        <v>34</v>
      </c>
      <c r="AJ2" s="17">
        <v>35</v>
      </c>
      <c r="AK2" s="17">
        <v>36</v>
      </c>
      <c r="AL2" s="17">
        <v>37</v>
      </c>
      <c r="AM2" s="17">
        <v>38</v>
      </c>
      <c r="AN2" s="17">
        <v>39</v>
      </c>
      <c r="AO2" s="17">
        <v>40</v>
      </c>
    </row>
    <row r="3" spans="1:41" x14ac:dyDescent="0.25">
      <c r="A3" s="15" t="s">
        <v>7</v>
      </c>
      <c r="B3" s="15"/>
      <c r="C3" s="15"/>
      <c r="D3" s="15"/>
      <c r="E3" s="15"/>
      <c r="F3" s="15"/>
      <c r="G3" s="15"/>
      <c r="H3" s="15"/>
      <c r="I3" s="15"/>
      <c r="J3" s="15"/>
      <c r="K3" s="15"/>
      <c r="L3" s="18" t="s">
        <v>8</v>
      </c>
      <c r="M3" s="18" t="s">
        <v>8</v>
      </c>
      <c r="N3" s="18" t="s">
        <v>8</v>
      </c>
      <c r="O3" s="18" t="s">
        <v>8</v>
      </c>
      <c r="P3" s="18" t="s">
        <v>8</v>
      </c>
      <c r="Q3" s="18" t="s">
        <v>8</v>
      </c>
      <c r="R3" s="18" t="s">
        <v>8</v>
      </c>
      <c r="S3" s="18" t="s">
        <v>8</v>
      </c>
      <c r="T3" s="18" t="s">
        <v>8</v>
      </c>
      <c r="U3" s="18" t="s">
        <v>8</v>
      </c>
      <c r="V3" s="18" t="s">
        <v>8</v>
      </c>
      <c r="W3" s="18" t="s">
        <v>8</v>
      </c>
      <c r="X3" s="18" t="s">
        <v>8</v>
      </c>
      <c r="Y3" s="18" t="s">
        <v>8</v>
      </c>
      <c r="Z3" s="18" t="s">
        <v>8</v>
      </c>
      <c r="AA3" s="18" t="s">
        <v>8</v>
      </c>
      <c r="AB3" s="18" t="s">
        <v>8</v>
      </c>
      <c r="AC3" s="18" t="s">
        <v>8</v>
      </c>
      <c r="AD3" s="18" t="s">
        <v>8</v>
      </c>
      <c r="AE3" s="18" t="s">
        <v>8</v>
      </c>
      <c r="AF3" s="18" t="s">
        <v>8</v>
      </c>
      <c r="AG3" s="18" t="s">
        <v>8</v>
      </c>
      <c r="AH3" s="18" t="s">
        <v>8</v>
      </c>
      <c r="AI3" s="18" t="s">
        <v>8</v>
      </c>
      <c r="AJ3" s="18" t="s">
        <v>8</v>
      </c>
      <c r="AK3" s="18" t="s">
        <v>8</v>
      </c>
      <c r="AL3" s="18" t="s">
        <v>8</v>
      </c>
      <c r="AM3" s="18" t="s">
        <v>8</v>
      </c>
      <c r="AN3" s="18" t="s">
        <v>8</v>
      </c>
      <c r="AO3" s="18" t="s">
        <v>8</v>
      </c>
    </row>
    <row r="4" spans="1:41" x14ac:dyDescent="0.25">
      <c r="A4" s="15" t="s">
        <v>9</v>
      </c>
      <c r="B4" s="6" t="s">
        <v>30</v>
      </c>
      <c r="C4" s="9" t="s">
        <v>30</v>
      </c>
      <c r="D4" s="6" t="s">
        <v>30</v>
      </c>
      <c r="E4" s="9" t="s">
        <v>30</v>
      </c>
      <c r="F4" s="6" t="s">
        <v>30</v>
      </c>
      <c r="G4" s="6" t="s">
        <v>30</v>
      </c>
      <c r="H4" s="9" t="s">
        <v>30</v>
      </c>
      <c r="I4" s="6" t="s">
        <v>30</v>
      </c>
      <c r="J4" s="9" t="s">
        <v>30</v>
      </c>
      <c r="K4" s="6" t="s">
        <v>30</v>
      </c>
      <c r="L4" s="9" t="s">
        <v>30</v>
      </c>
      <c r="M4" s="6" t="s">
        <v>30</v>
      </c>
      <c r="N4" s="9" t="s">
        <v>30</v>
      </c>
      <c r="O4" s="6" t="s">
        <v>30</v>
      </c>
      <c r="P4" s="9" t="s">
        <v>30</v>
      </c>
      <c r="Q4" s="6" t="s">
        <v>30</v>
      </c>
      <c r="R4" s="9" t="s">
        <v>30</v>
      </c>
      <c r="S4" s="6" t="s">
        <v>30</v>
      </c>
      <c r="T4" s="9" t="s">
        <v>30</v>
      </c>
      <c r="U4" s="6" t="s">
        <v>30</v>
      </c>
      <c r="V4" s="9" t="s">
        <v>30</v>
      </c>
      <c r="W4" s="6" t="s">
        <v>30</v>
      </c>
      <c r="X4" s="9" t="s">
        <v>30</v>
      </c>
      <c r="Y4" s="6" t="s">
        <v>30</v>
      </c>
      <c r="Z4" s="6" t="s">
        <v>30</v>
      </c>
      <c r="AA4" s="9" t="s">
        <v>30</v>
      </c>
      <c r="AB4" s="6" t="s">
        <v>30</v>
      </c>
      <c r="AC4" s="9" t="s">
        <v>30</v>
      </c>
      <c r="AD4" s="6" t="s">
        <v>30</v>
      </c>
      <c r="AE4" s="9" t="s">
        <v>30</v>
      </c>
      <c r="AF4" s="6" t="s">
        <v>30</v>
      </c>
      <c r="AG4" s="9" t="s">
        <v>30</v>
      </c>
      <c r="AH4" s="6" t="s">
        <v>30</v>
      </c>
      <c r="AI4" s="6" t="s">
        <v>30</v>
      </c>
      <c r="AJ4" s="9" t="s">
        <v>30</v>
      </c>
      <c r="AK4" s="6" t="s">
        <v>30</v>
      </c>
      <c r="AL4" s="9" t="s">
        <v>30</v>
      </c>
      <c r="AM4" s="6" t="s">
        <v>30</v>
      </c>
      <c r="AN4" s="9" t="s">
        <v>30</v>
      </c>
      <c r="AO4" s="6" t="s">
        <v>30</v>
      </c>
    </row>
    <row r="5" spans="1:41" x14ac:dyDescent="0.25">
      <c r="A5" s="15" t="s">
        <v>10</v>
      </c>
      <c r="B5" s="6" t="s">
        <v>31</v>
      </c>
      <c r="C5" s="9" t="s">
        <v>31</v>
      </c>
      <c r="D5" s="6" t="s">
        <v>31</v>
      </c>
      <c r="E5" s="9" t="s">
        <v>31</v>
      </c>
      <c r="F5" s="6" t="s">
        <v>31</v>
      </c>
      <c r="G5" s="6" t="s">
        <v>31</v>
      </c>
      <c r="H5" s="9" t="s">
        <v>31</v>
      </c>
      <c r="I5" s="6" t="s">
        <v>31</v>
      </c>
      <c r="J5" s="9" t="s">
        <v>31</v>
      </c>
      <c r="K5" s="6" t="s">
        <v>31</v>
      </c>
      <c r="L5" s="9" t="s">
        <v>31</v>
      </c>
      <c r="M5" s="6" t="s">
        <v>31</v>
      </c>
      <c r="N5" s="9" t="s">
        <v>31</v>
      </c>
      <c r="O5" s="6" t="s">
        <v>31</v>
      </c>
      <c r="P5" s="9" t="s">
        <v>31</v>
      </c>
      <c r="Q5" s="6" t="s">
        <v>31</v>
      </c>
      <c r="R5" s="9" t="s">
        <v>31</v>
      </c>
      <c r="S5" s="6" t="s">
        <v>31</v>
      </c>
      <c r="T5" s="9" t="s">
        <v>31</v>
      </c>
      <c r="U5" s="6" t="s">
        <v>31</v>
      </c>
      <c r="V5" s="9" t="s">
        <v>31</v>
      </c>
      <c r="W5" s="6" t="s">
        <v>31</v>
      </c>
      <c r="X5" s="9" t="s">
        <v>31</v>
      </c>
      <c r="Y5" s="6" t="s">
        <v>31</v>
      </c>
      <c r="Z5" s="6" t="s">
        <v>31</v>
      </c>
      <c r="AA5" s="9" t="s">
        <v>31</v>
      </c>
      <c r="AB5" s="6" t="s">
        <v>31</v>
      </c>
      <c r="AC5" s="9" t="s">
        <v>31</v>
      </c>
      <c r="AD5" s="6" t="s">
        <v>31</v>
      </c>
      <c r="AE5" s="9" t="s">
        <v>31</v>
      </c>
      <c r="AF5" s="6" t="s">
        <v>31</v>
      </c>
      <c r="AG5" s="9" t="s">
        <v>31</v>
      </c>
      <c r="AH5" s="6" t="s">
        <v>31</v>
      </c>
      <c r="AI5" s="6" t="s">
        <v>31</v>
      </c>
      <c r="AJ5" s="9" t="s">
        <v>31</v>
      </c>
      <c r="AK5" s="6" t="s">
        <v>31</v>
      </c>
      <c r="AL5" s="9" t="s">
        <v>31</v>
      </c>
      <c r="AM5" s="6" t="s">
        <v>31</v>
      </c>
      <c r="AN5" s="9" t="s">
        <v>31</v>
      </c>
      <c r="AO5" s="6" t="s">
        <v>31</v>
      </c>
    </row>
    <row r="6" spans="1:41" x14ac:dyDescent="0.25">
      <c r="A6" s="15" t="s">
        <v>11</v>
      </c>
      <c r="B6" s="6" t="s">
        <v>36</v>
      </c>
      <c r="C6" s="9" t="s">
        <v>36</v>
      </c>
      <c r="D6" s="6" t="s">
        <v>36</v>
      </c>
      <c r="E6" s="9" t="s">
        <v>36</v>
      </c>
      <c r="F6" s="6" t="s">
        <v>36</v>
      </c>
      <c r="G6" s="6" t="s">
        <v>36</v>
      </c>
      <c r="H6" s="9" t="s">
        <v>36</v>
      </c>
      <c r="I6" s="6" t="s">
        <v>36</v>
      </c>
      <c r="J6" s="9" t="s">
        <v>36</v>
      </c>
      <c r="K6" s="6" t="s">
        <v>36</v>
      </c>
      <c r="L6" s="9" t="s">
        <v>36</v>
      </c>
      <c r="M6" s="6" t="s">
        <v>36</v>
      </c>
      <c r="N6" s="9" t="s">
        <v>36</v>
      </c>
      <c r="O6" s="6" t="s">
        <v>36</v>
      </c>
      <c r="P6" s="9" t="s">
        <v>36</v>
      </c>
      <c r="Q6" s="6" t="s">
        <v>36</v>
      </c>
      <c r="R6" s="9" t="s">
        <v>36</v>
      </c>
      <c r="S6" s="6" t="s">
        <v>36</v>
      </c>
      <c r="T6" s="9" t="s">
        <v>36</v>
      </c>
      <c r="U6" s="6" t="s">
        <v>36</v>
      </c>
      <c r="V6" s="9" t="s">
        <v>36</v>
      </c>
      <c r="W6" s="6" t="s">
        <v>36</v>
      </c>
      <c r="X6" s="9" t="s">
        <v>36</v>
      </c>
      <c r="Y6" s="6" t="s">
        <v>36</v>
      </c>
      <c r="Z6" s="6" t="s">
        <v>36</v>
      </c>
      <c r="AA6" s="9" t="s">
        <v>36</v>
      </c>
      <c r="AB6" s="6" t="s">
        <v>36</v>
      </c>
      <c r="AC6" s="9" t="s">
        <v>36</v>
      </c>
      <c r="AD6" s="6" t="s">
        <v>36</v>
      </c>
      <c r="AE6" s="9" t="s">
        <v>36</v>
      </c>
      <c r="AF6" s="6" t="s">
        <v>36</v>
      </c>
      <c r="AG6" s="9" t="s">
        <v>36</v>
      </c>
      <c r="AH6" s="6" t="s">
        <v>36</v>
      </c>
      <c r="AI6" s="6" t="s">
        <v>36</v>
      </c>
      <c r="AJ6" s="9" t="s">
        <v>36</v>
      </c>
      <c r="AK6" s="6" t="s">
        <v>36</v>
      </c>
      <c r="AL6" s="9" t="s">
        <v>36</v>
      </c>
      <c r="AM6" s="6" t="s">
        <v>36</v>
      </c>
      <c r="AN6" s="9" t="s">
        <v>36</v>
      </c>
      <c r="AO6" s="6" t="s">
        <v>36</v>
      </c>
    </row>
    <row r="7" spans="1:41" x14ac:dyDescent="0.25">
      <c r="A7" s="15" t="s">
        <v>12</v>
      </c>
      <c r="B7" s="6" t="s">
        <v>32</v>
      </c>
      <c r="C7" s="9" t="s">
        <v>32</v>
      </c>
      <c r="D7" s="6" t="s">
        <v>32</v>
      </c>
      <c r="E7" s="9" t="s">
        <v>32</v>
      </c>
      <c r="F7" s="6" t="s">
        <v>32</v>
      </c>
      <c r="G7" s="6" t="s">
        <v>32</v>
      </c>
      <c r="H7" s="9" t="s">
        <v>32</v>
      </c>
      <c r="I7" s="6" t="s">
        <v>32</v>
      </c>
      <c r="J7" s="9" t="s">
        <v>32</v>
      </c>
      <c r="K7" s="6" t="s">
        <v>32</v>
      </c>
      <c r="L7" s="9" t="s">
        <v>32</v>
      </c>
      <c r="M7" s="6" t="s">
        <v>32</v>
      </c>
      <c r="N7" s="9" t="s">
        <v>32</v>
      </c>
      <c r="O7" s="6" t="s">
        <v>32</v>
      </c>
      <c r="P7" s="9" t="s">
        <v>32</v>
      </c>
      <c r="Q7" s="6" t="s">
        <v>32</v>
      </c>
      <c r="R7" s="9" t="s">
        <v>32</v>
      </c>
      <c r="S7" s="6" t="s">
        <v>32</v>
      </c>
      <c r="T7" s="9" t="s">
        <v>32</v>
      </c>
      <c r="U7" s="6" t="s">
        <v>32</v>
      </c>
      <c r="V7" s="9" t="s">
        <v>32</v>
      </c>
      <c r="W7" s="6" t="s">
        <v>32</v>
      </c>
      <c r="X7" s="9" t="s">
        <v>32</v>
      </c>
      <c r="Y7" s="6" t="s">
        <v>32</v>
      </c>
      <c r="Z7" s="6" t="s">
        <v>32</v>
      </c>
      <c r="AA7" s="9" t="s">
        <v>32</v>
      </c>
      <c r="AB7" s="6" t="s">
        <v>32</v>
      </c>
      <c r="AC7" s="9" t="s">
        <v>32</v>
      </c>
      <c r="AD7" s="6" t="s">
        <v>32</v>
      </c>
      <c r="AE7" s="9" t="s">
        <v>32</v>
      </c>
      <c r="AF7" s="6" t="s">
        <v>32</v>
      </c>
      <c r="AG7" s="9" t="s">
        <v>32</v>
      </c>
      <c r="AH7" s="6" t="s">
        <v>32</v>
      </c>
      <c r="AI7" s="6" t="s">
        <v>32</v>
      </c>
      <c r="AJ7" s="9" t="s">
        <v>32</v>
      </c>
      <c r="AK7" s="6" t="s">
        <v>32</v>
      </c>
      <c r="AL7" s="9" t="s">
        <v>32</v>
      </c>
      <c r="AM7" s="6" t="s">
        <v>32</v>
      </c>
      <c r="AN7" s="9" t="s">
        <v>32</v>
      </c>
      <c r="AO7" s="6" t="s">
        <v>32</v>
      </c>
    </row>
    <row r="8" spans="1:41" x14ac:dyDescent="0.25">
      <c r="A8" s="15" t="s">
        <v>13</v>
      </c>
      <c r="B8" s="6" t="s">
        <v>33</v>
      </c>
      <c r="C8" s="9" t="s">
        <v>33</v>
      </c>
      <c r="D8" s="6" t="s">
        <v>33</v>
      </c>
      <c r="E8" s="9" t="s">
        <v>33</v>
      </c>
      <c r="F8" s="6" t="s">
        <v>33</v>
      </c>
      <c r="G8" s="6" t="s">
        <v>33</v>
      </c>
      <c r="H8" s="9" t="s">
        <v>33</v>
      </c>
      <c r="I8" s="6" t="s">
        <v>33</v>
      </c>
      <c r="J8" s="9" t="s">
        <v>33</v>
      </c>
      <c r="K8" s="6" t="s">
        <v>33</v>
      </c>
      <c r="L8" s="9" t="s">
        <v>33</v>
      </c>
      <c r="M8" s="6" t="s">
        <v>33</v>
      </c>
      <c r="N8" s="9" t="s">
        <v>33</v>
      </c>
      <c r="O8" s="6" t="s">
        <v>33</v>
      </c>
      <c r="P8" s="9" t="s">
        <v>33</v>
      </c>
      <c r="Q8" s="6" t="s">
        <v>33</v>
      </c>
      <c r="R8" s="9" t="s">
        <v>33</v>
      </c>
      <c r="S8" s="6" t="s">
        <v>33</v>
      </c>
      <c r="T8" s="9" t="s">
        <v>33</v>
      </c>
      <c r="U8" s="6" t="s">
        <v>33</v>
      </c>
      <c r="V8" s="9" t="s">
        <v>33</v>
      </c>
      <c r="W8" s="6" t="s">
        <v>33</v>
      </c>
      <c r="X8" s="9" t="s">
        <v>33</v>
      </c>
      <c r="Y8" s="6" t="s">
        <v>33</v>
      </c>
      <c r="Z8" s="6" t="s">
        <v>33</v>
      </c>
      <c r="AA8" s="9" t="s">
        <v>33</v>
      </c>
      <c r="AB8" s="6" t="s">
        <v>33</v>
      </c>
      <c r="AC8" s="9" t="s">
        <v>33</v>
      </c>
      <c r="AD8" s="6" t="s">
        <v>33</v>
      </c>
      <c r="AE8" s="9" t="s">
        <v>33</v>
      </c>
      <c r="AF8" s="6" t="s">
        <v>33</v>
      </c>
      <c r="AG8" s="9" t="s">
        <v>33</v>
      </c>
      <c r="AH8" s="6" t="s">
        <v>33</v>
      </c>
      <c r="AI8" s="6" t="s">
        <v>33</v>
      </c>
      <c r="AJ8" s="9" t="s">
        <v>33</v>
      </c>
      <c r="AK8" s="6" t="s">
        <v>33</v>
      </c>
      <c r="AL8" s="9" t="s">
        <v>33</v>
      </c>
      <c r="AM8" s="6" t="s">
        <v>33</v>
      </c>
      <c r="AN8" s="9" t="s">
        <v>33</v>
      </c>
      <c r="AO8" s="6" t="s">
        <v>33</v>
      </c>
    </row>
    <row r="9" spans="1:41" x14ac:dyDescent="0.25">
      <c r="A9" s="15" t="s">
        <v>14</v>
      </c>
      <c r="B9" s="6" t="s">
        <v>34</v>
      </c>
      <c r="C9" s="9" t="s">
        <v>34</v>
      </c>
      <c r="D9" s="6" t="s">
        <v>34</v>
      </c>
      <c r="E9" s="9" t="s">
        <v>34</v>
      </c>
      <c r="F9" s="6" t="s">
        <v>34</v>
      </c>
      <c r="G9" s="6" t="s">
        <v>34</v>
      </c>
      <c r="H9" s="9" t="s">
        <v>34</v>
      </c>
      <c r="I9" s="6" t="s">
        <v>34</v>
      </c>
      <c r="J9" s="9" t="s">
        <v>34</v>
      </c>
      <c r="K9" s="6" t="s">
        <v>34</v>
      </c>
      <c r="L9" s="9" t="s">
        <v>34</v>
      </c>
      <c r="M9" s="6" t="s">
        <v>34</v>
      </c>
      <c r="N9" s="9" t="s">
        <v>34</v>
      </c>
      <c r="O9" s="6" t="s">
        <v>34</v>
      </c>
      <c r="P9" s="9" t="s">
        <v>34</v>
      </c>
      <c r="Q9" s="6" t="s">
        <v>34</v>
      </c>
      <c r="R9" s="9" t="s">
        <v>34</v>
      </c>
      <c r="S9" s="6" t="s">
        <v>34</v>
      </c>
      <c r="T9" s="9" t="s">
        <v>34</v>
      </c>
      <c r="U9" s="6" t="s">
        <v>34</v>
      </c>
      <c r="V9" s="9" t="s">
        <v>34</v>
      </c>
      <c r="W9" s="6" t="s">
        <v>34</v>
      </c>
      <c r="X9" s="9" t="s">
        <v>34</v>
      </c>
      <c r="Y9" s="6" t="s">
        <v>34</v>
      </c>
      <c r="Z9" s="6" t="s">
        <v>34</v>
      </c>
      <c r="AA9" s="9" t="s">
        <v>34</v>
      </c>
      <c r="AB9" s="6" t="s">
        <v>34</v>
      </c>
      <c r="AC9" s="9" t="s">
        <v>34</v>
      </c>
      <c r="AD9" s="6" t="s">
        <v>34</v>
      </c>
      <c r="AE9" s="9" t="s">
        <v>34</v>
      </c>
      <c r="AF9" s="6" t="s">
        <v>34</v>
      </c>
      <c r="AG9" s="9" t="s">
        <v>34</v>
      </c>
      <c r="AH9" s="6" t="s">
        <v>34</v>
      </c>
      <c r="AI9" s="6" t="s">
        <v>34</v>
      </c>
      <c r="AJ9" s="9" t="s">
        <v>34</v>
      </c>
      <c r="AK9" s="6" t="s">
        <v>34</v>
      </c>
      <c r="AL9" s="9" t="s">
        <v>34</v>
      </c>
      <c r="AM9" s="6" t="s">
        <v>34</v>
      </c>
      <c r="AN9" s="9" t="s">
        <v>34</v>
      </c>
      <c r="AO9" s="6" t="s">
        <v>34</v>
      </c>
    </row>
    <row r="10" spans="1:41" x14ac:dyDescent="0.25">
      <c r="A10" s="15" t="s">
        <v>15</v>
      </c>
      <c r="B10" s="6" t="str">
        <f>"+353872356485"</f>
        <v>+353872356485</v>
      </c>
      <c r="C10" s="9" t="str">
        <f t="shared" ref="C10:K10" si="0">"+353872356485"</f>
        <v>+353872356485</v>
      </c>
      <c r="D10" s="6" t="str">
        <f t="shared" si="0"/>
        <v>+353872356485</v>
      </c>
      <c r="E10" s="9" t="str">
        <f t="shared" si="0"/>
        <v>+353872356485</v>
      </c>
      <c r="F10" s="6" t="str">
        <f t="shared" si="0"/>
        <v>+353872356485</v>
      </c>
      <c r="G10" s="6" t="str">
        <f>"+353872356485"</f>
        <v>+353872356485</v>
      </c>
      <c r="H10" s="9" t="str">
        <f t="shared" si="0"/>
        <v>+353872356485</v>
      </c>
      <c r="I10" s="6" t="str">
        <f t="shared" si="0"/>
        <v>+353872356485</v>
      </c>
      <c r="J10" s="9" t="str">
        <f t="shared" si="0"/>
        <v>+353872356485</v>
      </c>
      <c r="K10" s="6" t="str">
        <f t="shared" si="0"/>
        <v>+353872356485</v>
      </c>
      <c r="L10" s="9" t="str">
        <f t="shared" ref="L10:AO10" si="1">"+353872356485"</f>
        <v>+353872356485</v>
      </c>
      <c r="M10" s="6" t="str">
        <f t="shared" si="1"/>
        <v>+353872356485</v>
      </c>
      <c r="N10" s="9" t="str">
        <f t="shared" si="1"/>
        <v>+353872356485</v>
      </c>
      <c r="O10" s="6" t="str">
        <f t="shared" si="1"/>
        <v>+353872356485</v>
      </c>
      <c r="P10" s="9" t="str">
        <f t="shared" si="1"/>
        <v>+353872356485</v>
      </c>
      <c r="Q10" s="6" t="str">
        <f t="shared" si="1"/>
        <v>+353872356485</v>
      </c>
      <c r="R10" s="9" t="str">
        <f t="shared" si="1"/>
        <v>+353872356485</v>
      </c>
      <c r="S10" s="6" t="str">
        <f t="shared" si="1"/>
        <v>+353872356485</v>
      </c>
      <c r="T10" s="9" t="str">
        <f t="shared" si="1"/>
        <v>+353872356485</v>
      </c>
      <c r="U10" s="6" t="str">
        <f t="shared" si="1"/>
        <v>+353872356485</v>
      </c>
      <c r="V10" s="9" t="str">
        <f t="shared" si="1"/>
        <v>+353872356485</v>
      </c>
      <c r="W10" s="6" t="str">
        <f t="shared" si="1"/>
        <v>+353872356485</v>
      </c>
      <c r="X10" s="9" t="str">
        <f t="shared" si="1"/>
        <v>+353872356485</v>
      </c>
      <c r="Y10" s="6" t="str">
        <f t="shared" si="1"/>
        <v>+353872356485</v>
      </c>
      <c r="Z10" s="6" t="str">
        <f t="shared" si="1"/>
        <v>+353872356485</v>
      </c>
      <c r="AA10" s="9" t="str">
        <f t="shared" si="1"/>
        <v>+353872356485</v>
      </c>
      <c r="AB10" s="6" t="str">
        <f t="shared" si="1"/>
        <v>+353872356485</v>
      </c>
      <c r="AC10" s="9" t="str">
        <f t="shared" si="1"/>
        <v>+353872356485</v>
      </c>
      <c r="AD10" s="6" t="str">
        <f t="shared" si="1"/>
        <v>+353872356485</v>
      </c>
      <c r="AE10" s="9" t="str">
        <f t="shared" si="1"/>
        <v>+353872356485</v>
      </c>
      <c r="AF10" s="6" t="str">
        <f t="shared" si="1"/>
        <v>+353872356485</v>
      </c>
      <c r="AG10" s="9" t="str">
        <f t="shared" si="1"/>
        <v>+353872356485</v>
      </c>
      <c r="AH10" s="6" t="str">
        <f t="shared" si="1"/>
        <v>+353872356485</v>
      </c>
      <c r="AI10" s="6" t="str">
        <f t="shared" si="1"/>
        <v>+353872356485</v>
      </c>
      <c r="AJ10" s="9" t="str">
        <f t="shared" si="1"/>
        <v>+353872356485</v>
      </c>
      <c r="AK10" s="6" t="str">
        <f t="shared" si="1"/>
        <v>+353872356485</v>
      </c>
      <c r="AL10" s="9" t="str">
        <f t="shared" si="1"/>
        <v>+353872356485</v>
      </c>
      <c r="AM10" s="6" t="str">
        <f t="shared" si="1"/>
        <v>+353872356485</v>
      </c>
      <c r="AN10" s="9" t="str">
        <f t="shared" si="1"/>
        <v>+353872356485</v>
      </c>
      <c r="AO10" s="6" t="str">
        <f t="shared" si="1"/>
        <v>+353872356485</v>
      </c>
    </row>
    <row r="11" spans="1:41" x14ac:dyDescent="0.25">
      <c r="A11" s="15" t="s">
        <v>16</v>
      </c>
      <c r="B11" s="7">
        <v>35582</v>
      </c>
      <c r="C11" s="10">
        <v>35582</v>
      </c>
      <c r="D11" s="7">
        <v>35582</v>
      </c>
      <c r="E11" s="10">
        <v>35582</v>
      </c>
      <c r="F11" s="7">
        <v>35582</v>
      </c>
      <c r="G11" s="7">
        <v>35582</v>
      </c>
      <c r="H11" s="10">
        <v>35582</v>
      </c>
      <c r="I11" s="7">
        <v>35582</v>
      </c>
      <c r="J11" s="10">
        <v>35582</v>
      </c>
      <c r="K11" s="7">
        <v>35582</v>
      </c>
      <c r="L11" s="10">
        <v>35582</v>
      </c>
      <c r="M11" s="7">
        <v>35582</v>
      </c>
      <c r="N11" s="10">
        <v>35582</v>
      </c>
      <c r="O11" s="7">
        <v>35582</v>
      </c>
      <c r="P11" s="10">
        <v>35582</v>
      </c>
      <c r="Q11" s="7">
        <v>35582</v>
      </c>
      <c r="R11" s="10">
        <v>35582</v>
      </c>
      <c r="S11" s="7">
        <v>35582</v>
      </c>
      <c r="T11" s="10">
        <v>35582</v>
      </c>
      <c r="U11" s="7">
        <v>35582</v>
      </c>
      <c r="V11" s="10">
        <v>35582</v>
      </c>
      <c r="W11" s="7">
        <v>35582</v>
      </c>
      <c r="X11" s="10">
        <v>35582</v>
      </c>
      <c r="Y11" s="7">
        <v>35582</v>
      </c>
      <c r="Z11" s="7">
        <v>35582</v>
      </c>
      <c r="AA11" s="10">
        <v>35582</v>
      </c>
      <c r="AB11" s="7">
        <v>35582</v>
      </c>
      <c r="AC11" s="10">
        <v>35582</v>
      </c>
      <c r="AD11" s="7">
        <v>35582</v>
      </c>
      <c r="AE11" s="10">
        <v>35582</v>
      </c>
      <c r="AF11" s="7">
        <v>35582</v>
      </c>
      <c r="AG11" s="10">
        <v>35582</v>
      </c>
      <c r="AH11" s="7">
        <v>35582</v>
      </c>
      <c r="AI11" s="7">
        <v>35582</v>
      </c>
      <c r="AJ11" s="10">
        <v>35582</v>
      </c>
      <c r="AK11" s="7">
        <v>35582</v>
      </c>
      <c r="AL11" s="10">
        <v>35582</v>
      </c>
      <c r="AM11" s="7">
        <v>35582</v>
      </c>
      <c r="AN11" s="10">
        <v>35582</v>
      </c>
      <c r="AO11" s="7">
        <v>35582</v>
      </c>
    </row>
    <row r="12" spans="1:41" x14ac:dyDescent="0.25">
      <c r="A12" s="15" t="s">
        <v>17</v>
      </c>
      <c r="B12" s="6" t="s">
        <v>35</v>
      </c>
      <c r="C12" s="9" t="s">
        <v>35</v>
      </c>
      <c r="D12" s="6" t="s">
        <v>35</v>
      </c>
      <c r="E12" s="9" t="s">
        <v>35</v>
      </c>
      <c r="F12" s="6" t="s">
        <v>35</v>
      </c>
      <c r="G12" s="6" t="s">
        <v>35</v>
      </c>
      <c r="H12" s="9" t="s">
        <v>35</v>
      </c>
      <c r="I12" s="6" t="s">
        <v>35</v>
      </c>
      <c r="J12" s="9" t="s">
        <v>35</v>
      </c>
      <c r="K12" s="6" t="s">
        <v>35</v>
      </c>
      <c r="L12" s="9" t="s">
        <v>35</v>
      </c>
      <c r="M12" s="6" t="s">
        <v>35</v>
      </c>
      <c r="N12" s="9" t="s">
        <v>35</v>
      </c>
      <c r="O12" s="6" t="s">
        <v>35</v>
      </c>
      <c r="P12" s="9" t="s">
        <v>35</v>
      </c>
      <c r="Q12" s="6" t="s">
        <v>35</v>
      </c>
      <c r="R12" s="9" t="s">
        <v>35</v>
      </c>
      <c r="S12" s="6" t="s">
        <v>35</v>
      </c>
      <c r="T12" s="9" t="s">
        <v>35</v>
      </c>
      <c r="U12" s="6" t="s">
        <v>35</v>
      </c>
      <c r="V12" s="9" t="s">
        <v>35</v>
      </c>
      <c r="W12" s="6" t="s">
        <v>35</v>
      </c>
      <c r="X12" s="9" t="s">
        <v>35</v>
      </c>
      <c r="Y12" s="6" t="s">
        <v>35</v>
      </c>
      <c r="Z12" s="6" t="s">
        <v>35</v>
      </c>
      <c r="AA12" s="9" t="s">
        <v>35</v>
      </c>
      <c r="AB12" s="6" t="s">
        <v>35</v>
      </c>
      <c r="AC12" s="9" t="s">
        <v>35</v>
      </c>
      <c r="AD12" s="6" t="s">
        <v>35</v>
      </c>
      <c r="AE12" s="9" t="s">
        <v>35</v>
      </c>
      <c r="AF12" s="6" t="s">
        <v>35</v>
      </c>
      <c r="AG12" s="9" t="s">
        <v>35</v>
      </c>
      <c r="AH12" s="6" t="s">
        <v>35</v>
      </c>
      <c r="AI12" s="6" t="s">
        <v>35</v>
      </c>
      <c r="AJ12" s="9" t="s">
        <v>35</v>
      </c>
      <c r="AK12" s="6" t="s">
        <v>35</v>
      </c>
      <c r="AL12" s="9" t="s">
        <v>35</v>
      </c>
      <c r="AM12" s="6" t="s">
        <v>35</v>
      </c>
      <c r="AN12" s="9" t="s">
        <v>35</v>
      </c>
      <c r="AO12" s="6" t="s">
        <v>35</v>
      </c>
    </row>
    <row r="13" spans="1:41" x14ac:dyDescent="0.25">
      <c r="A13" s="15" t="s">
        <v>18</v>
      </c>
      <c r="B13" s="6" t="s">
        <v>37</v>
      </c>
      <c r="C13" s="9" t="s">
        <v>37</v>
      </c>
      <c r="D13" s="6" t="s">
        <v>37</v>
      </c>
      <c r="E13" s="9" t="s">
        <v>37</v>
      </c>
      <c r="F13" s="6" t="s">
        <v>37</v>
      </c>
      <c r="G13" s="6" t="s">
        <v>37</v>
      </c>
      <c r="H13" s="9" t="s">
        <v>37</v>
      </c>
      <c r="I13" s="6" t="s">
        <v>37</v>
      </c>
      <c r="J13" s="9" t="s">
        <v>37</v>
      </c>
      <c r="K13" s="6" t="s">
        <v>37</v>
      </c>
      <c r="L13" s="9" t="s">
        <v>37</v>
      </c>
      <c r="M13" s="6" t="s">
        <v>37</v>
      </c>
      <c r="N13" s="9" t="s">
        <v>37</v>
      </c>
      <c r="O13" s="6" t="s">
        <v>37</v>
      </c>
      <c r="P13" s="9" t="s">
        <v>37</v>
      </c>
      <c r="Q13" s="6" t="s">
        <v>37</v>
      </c>
      <c r="R13" s="9" t="s">
        <v>37</v>
      </c>
      <c r="S13" s="6" t="s">
        <v>37</v>
      </c>
      <c r="T13" s="9" t="s">
        <v>37</v>
      </c>
      <c r="U13" s="6" t="s">
        <v>37</v>
      </c>
      <c r="V13" s="9" t="s">
        <v>37</v>
      </c>
      <c r="W13" s="6" t="s">
        <v>37</v>
      </c>
      <c r="X13" s="9" t="s">
        <v>37</v>
      </c>
      <c r="Y13" s="6" t="s">
        <v>37</v>
      </c>
      <c r="Z13" s="6" t="s">
        <v>37</v>
      </c>
      <c r="AA13" s="9" t="s">
        <v>37</v>
      </c>
      <c r="AB13" s="6" t="s">
        <v>37</v>
      </c>
      <c r="AC13" s="9" t="s">
        <v>37</v>
      </c>
      <c r="AD13" s="6" t="s">
        <v>37</v>
      </c>
      <c r="AE13" s="9" t="s">
        <v>37</v>
      </c>
      <c r="AF13" s="6" t="s">
        <v>37</v>
      </c>
      <c r="AG13" s="9" t="s">
        <v>37</v>
      </c>
      <c r="AH13" s="6" t="s">
        <v>37</v>
      </c>
      <c r="AI13" s="6" t="s">
        <v>37</v>
      </c>
      <c r="AJ13" s="9" t="s">
        <v>37</v>
      </c>
      <c r="AK13" s="6" t="s">
        <v>37</v>
      </c>
      <c r="AL13" s="9" t="s">
        <v>37</v>
      </c>
      <c r="AM13" s="6" t="s">
        <v>37</v>
      </c>
      <c r="AN13" s="9" t="s">
        <v>37</v>
      </c>
      <c r="AO13" s="6" t="s">
        <v>37</v>
      </c>
    </row>
    <row r="14" spans="1:41" x14ac:dyDescent="0.25">
      <c r="A14" s="15" t="s">
        <v>19</v>
      </c>
      <c r="B14" s="6">
        <v>2009</v>
      </c>
      <c r="C14" s="9">
        <v>2009</v>
      </c>
      <c r="D14" s="6">
        <v>2009</v>
      </c>
      <c r="E14" s="9">
        <v>2009</v>
      </c>
      <c r="F14" s="6">
        <v>2009</v>
      </c>
      <c r="G14" s="6">
        <v>2009</v>
      </c>
      <c r="H14" s="9">
        <v>2009</v>
      </c>
      <c r="I14" s="6">
        <v>2009</v>
      </c>
      <c r="J14" s="9">
        <v>2009</v>
      </c>
      <c r="K14" s="6">
        <v>2009</v>
      </c>
      <c r="L14" s="9">
        <v>2009</v>
      </c>
      <c r="M14" s="6">
        <v>2009</v>
      </c>
      <c r="N14" s="9">
        <v>2009</v>
      </c>
      <c r="O14" s="6">
        <v>2009</v>
      </c>
      <c r="P14" s="9">
        <v>2009</v>
      </c>
      <c r="Q14" s="6">
        <v>2009</v>
      </c>
      <c r="R14" s="9">
        <v>2009</v>
      </c>
      <c r="S14" s="6">
        <v>2009</v>
      </c>
      <c r="T14" s="9">
        <v>2009</v>
      </c>
      <c r="U14" s="6">
        <v>2009</v>
      </c>
      <c r="V14" s="9">
        <v>2009</v>
      </c>
      <c r="W14" s="6">
        <v>2009</v>
      </c>
      <c r="X14" s="9">
        <v>2009</v>
      </c>
      <c r="Y14" s="6">
        <v>2009</v>
      </c>
      <c r="Z14" s="6">
        <v>2009</v>
      </c>
      <c r="AA14" s="9">
        <v>2009</v>
      </c>
      <c r="AB14" s="6">
        <v>2009</v>
      </c>
      <c r="AC14" s="9">
        <v>2009</v>
      </c>
      <c r="AD14" s="6">
        <v>2009</v>
      </c>
      <c r="AE14" s="9">
        <v>2009</v>
      </c>
      <c r="AF14" s="6">
        <v>2009</v>
      </c>
      <c r="AG14" s="9">
        <v>2009</v>
      </c>
      <c r="AH14" s="6">
        <v>2009</v>
      </c>
      <c r="AI14" s="6">
        <v>2009</v>
      </c>
      <c r="AJ14" s="9">
        <v>2009</v>
      </c>
      <c r="AK14" s="6">
        <v>2009</v>
      </c>
      <c r="AL14" s="9">
        <v>2009</v>
      </c>
      <c r="AM14" s="6">
        <v>2009</v>
      </c>
      <c r="AN14" s="9">
        <v>2009</v>
      </c>
      <c r="AO14" s="6">
        <v>2009</v>
      </c>
    </row>
    <row r="15" spans="1:41" x14ac:dyDescent="0.25">
      <c r="A15" s="15" t="s">
        <v>20</v>
      </c>
      <c r="B15" s="6">
        <v>2001</v>
      </c>
      <c r="C15" s="9">
        <v>1999</v>
      </c>
      <c r="D15" s="6">
        <v>1500</v>
      </c>
      <c r="E15" s="9">
        <v>1000</v>
      </c>
      <c r="F15" s="6">
        <v>800</v>
      </c>
      <c r="G15" s="6">
        <v>2001</v>
      </c>
      <c r="H15" s="9">
        <v>1999</v>
      </c>
      <c r="I15" s="6">
        <v>1500</v>
      </c>
      <c r="J15" s="9">
        <v>1000</v>
      </c>
      <c r="K15" s="6">
        <v>800</v>
      </c>
      <c r="L15" s="9">
        <v>2001</v>
      </c>
      <c r="M15" s="6">
        <v>1999</v>
      </c>
      <c r="N15" s="9">
        <v>1500</v>
      </c>
      <c r="O15" s="6">
        <v>1000</v>
      </c>
      <c r="P15" s="9">
        <v>800</v>
      </c>
      <c r="Q15" s="6">
        <v>2001</v>
      </c>
      <c r="R15" s="9">
        <v>1999</v>
      </c>
      <c r="S15" s="6">
        <v>1500</v>
      </c>
      <c r="T15" s="9">
        <v>1000</v>
      </c>
      <c r="U15" s="6">
        <v>800</v>
      </c>
      <c r="V15" s="9">
        <v>2001</v>
      </c>
      <c r="W15" s="6">
        <v>1999</v>
      </c>
      <c r="X15" s="9">
        <v>1500</v>
      </c>
      <c r="Y15" s="6">
        <v>1000</v>
      </c>
      <c r="Z15" s="6">
        <v>800</v>
      </c>
      <c r="AA15" s="9">
        <v>2001</v>
      </c>
      <c r="AB15" s="6">
        <v>1999</v>
      </c>
      <c r="AC15" s="9">
        <v>1500</v>
      </c>
      <c r="AD15" s="6">
        <v>1000</v>
      </c>
      <c r="AE15" s="9">
        <v>2001</v>
      </c>
      <c r="AF15" s="6">
        <v>1999</v>
      </c>
      <c r="AG15" s="9">
        <v>1500</v>
      </c>
      <c r="AH15" s="6">
        <v>1000</v>
      </c>
      <c r="AI15" s="6">
        <v>800</v>
      </c>
      <c r="AJ15" s="9">
        <v>800</v>
      </c>
      <c r="AK15" s="6">
        <v>2001</v>
      </c>
      <c r="AL15" s="9">
        <v>1999</v>
      </c>
      <c r="AM15" s="6">
        <v>1500</v>
      </c>
      <c r="AN15" s="9">
        <v>1000</v>
      </c>
      <c r="AO15" s="6">
        <v>800</v>
      </c>
    </row>
    <row r="16" spans="1:41" x14ac:dyDescent="0.25">
      <c r="A16" s="15" t="s">
        <v>21</v>
      </c>
      <c r="B16" s="6" t="s">
        <v>38</v>
      </c>
      <c r="C16" s="9" t="s">
        <v>38</v>
      </c>
      <c r="D16" s="6" t="s">
        <v>38</v>
      </c>
      <c r="E16" s="9" t="s">
        <v>38</v>
      </c>
      <c r="F16" s="6" t="s">
        <v>38</v>
      </c>
      <c r="G16" s="6" t="s">
        <v>38</v>
      </c>
      <c r="H16" s="9" t="s">
        <v>38</v>
      </c>
      <c r="I16" s="6" t="s">
        <v>38</v>
      </c>
      <c r="J16" s="9" t="s">
        <v>38</v>
      </c>
      <c r="K16" s="6" t="s">
        <v>38</v>
      </c>
      <c r="L16" s="9" t="s">
        <v>38</v>
      </c>
      <c r="M16" s="6" t="s">
        <v>38</v>
      </c>
      <c r="N16" s="9" t="s">
        <v>38</v>
      </c>
      <c r="O16" s="6" t="s">
        <v>38</v>
      </c>
      <c r="P16" s="9" t="s">
        <v>38</v>
      </c>
      <c r="Q16" s="6" t="s">
        <v>38</v>
      </c>
      <c r="R16" s="9" t="s">
        <v>38</v>
      </c>
      <c r="S16" s="6" t="s">
        <v>38</v>
      </c>
      <c r="T16" s="9" t="s">
        <v>38</v>
      </c>
      <c r="U16" s="6" t="s">
        <v>38</v>
      </c>
      <c r="V16" s="9" t="s">
        <v>38</v>
      </c>
      <c r="W16" s="6" t="s">
        <v>38</v>
      </c>
      <c r="X16" s="9" t="s">
        <v>38</v>
      </c>
      <c r="Y16" s="6" t="s">
        <v>38</v>
      </c>
      <c r="Z16" s="6" t="s">
        <v>38</v>
      </c>
      <c r="AA16" s="9" t="s">
        <v>38</v>
      </c>
      <c r="AB16" s="6" t="s">
        <v>38</v>
      </c>
      <c r="AC16" s="9" t="s">
        <v>38</v>
      </c>
      <c r="AD16" s="6" t="s">
        <v>38</v>
      </c>
      <c r="AE16" s="9" t="s">
        <v>38</v>
      </c>
      <c r="AF16" s="6" t="s">
        <v>38</v>
      </c>
      <c r="AG16" s="9" t="s">
        <v>38</v>
      </c>
      <c r="AH16" s="6" t="s">
        <v>38</v>
      </c>
      <c r="AI16" s="6" t="s">
        <v>38</v>
      </c>
      <c r="AJ16" s="9" t="s">
        <v>38</v>
      </c>
      <c r="AK16" s="6" t="s">
        <v>38</v>
      </c>
      <c r="AL16" s="9" t="s">
        <v>38</v>
      </c>
      <c r="AM16" s="6" t="s">
        <v>38</v>
      </c>
      <c r="AN16" s="9" t="s">
        <v>38</v>
      </c>
      <c r="AO16" s="6" t="s">
        <v>38</v>
      </c>
    </row>
    <row r="17" spans="1:41" x14ac:dyDescent="0.25">
      <c r="A17" s="15" t="s">
        <v>22</v>
      </c>
      <c r="B17" s="8">
        <v>11000</v>
      </c>
      <c r="C17" s="11">
        <v>11000</v>
      </c>
      <c r="D17" s="8">
        <v>11000</v>
      </c>
      <c r="E17" s="11">
        <v>11000</v>
      </c>
      <c r="F17" s="8">
        <v>11000</v>
      </c>
      <c r="G17" s="8">
        <v>11000</v>
      </c>
      <c r="H17" s="11">
        <v>11000</v>
      </c>
      <c r="I17" s="8">
        <v>11000</v>
      </c>
      <c r="J17" s="11">
        <v>11000</v>
      </c>
      <c r="K17" s="8">
        <v>11000</v>
      </c>
      <c r="L17" s="11">
        <v>11000</v>
      </c>
      <c r="M17" s="8">
        <v>11000</v>
      </c>
      <c r="N17" s="11">
        <v>11000</v>
      </c>
      <c r="O17" s="8">
        <v>11000</v>
      </c>
      <c r="P17" s="11">
        <v>11000</v>
      </c>
      <c r="Q17" s="8">
        <v>11000</v>
      </c>
      <c r="R17" s="11">
        <v>11000</v>
      </c>
      <c r="S17" s="8">
        <v>11000</v>
      </c>
      <c r="T17" s="11">
        <v>11000</v>
      </c>
      <c r="U17" s="8">
        <v>11000</v>
      </c>
      <c r="V17" s="11">
        <v>11000</v>
      </c>
      <c r="W17" s="8">
        <v>11000</v>
      </c>
      <c r="X17" s="11">
        <v>11000</v>
      </c>
      <c r="Y17" s="8">
        <v>11000</v>
      </c>
      <c r="Z17" s="8">
        <v>11000</v>
      </c>
      <c r="AA17" s="11">
        <v>11000</v>
      </c>
      <c r="AB17" s="8">
        <v>11000</v>
      </c>
      <c r="AC17" s="11">
        <v>11000</v>
      </c>
      <c r="AD17" s="8">
        <v>11000</v>
      </c>
      <c r="AE17" s="11">
        <v>11000</v>
      </c>
      <c r="AF17" s="8">
        <v>11000</v>
      </c>
      <c r="AG17" s="11">
        <v>11000</v>
      </c>
      <c r="AH17" s="8">
        <v>11000</v>
      </c>
      <c r="AI17" s="8">
        <v>11000</v>
      </c>
      <c r="AJ17" s="11">
        <v>11000</v>
      </c>
      <c r="AK17" s="8">
        <v>11000</v>
      </c>
      <c r="AL17" s="11">
        <v>11000</v>
      </c>
      <c r="AM17" s="8">
        <v>11000</v>
      </c>
      <c r="AN17" s="11">
        <v>11000</v>
      </c>
      <c r="AO17" s="8">
        <v>11000</v>
      </c>
    </row>
    <row r="18" spans="1:41" x14ac:dyDescent="0.25">
      <c r="A18" s="15" t="s">
        <v>23</v>
      </c>
      <c r="B18" s="6">
        <v>6001</v>
      </c>
      <c r="C18" s="9">
        <v>6001</v>
      </c>
      <c r="D18" s="6">
        <v>6001</v>
      </c>
      <c r="E18" s="9">
        <v>6001</v>
      </c>
      <c r="F18" s="6">
        <v>6001</v>
      </c>
      <c r="G18" s="6">
        <v>5999</v>
      </c>
      <c r="H18" s="6">
        <v>5999</v>
      </c>
      <c r="I18" s="6">
        <v>5999</v>
      </c>
      <c r="J18" s="6">
        <v>5999</v>
      </c>
      <c r="K18" s="6">
        <v>5999</v>
      </c>
      <c r="L18" s="9">
        <v>6001</v>
      </c>
      <c r="M18" s="6">
        <v>6001</v>
      </c>
      <c r="N18" s="9">
        <v>6001</v>
      </c>
      <c r="O18" s="6">
        <v>6001</v>
      </c>
      <c r="P18" s="9">
        <v>6001</v>
      </c>
      <c r="Q18" s="6">
        <v>5999</v>
      </c>
      <c r="R18" s="9">
        <v>5999</v>
      </c>
      <c r="S18" s="6">
        <v>5999</v>
      </c>
      <c r="T18" s="9">
        <v>5999</v>
      </c>
      <c r="U18" s="6">
        <v>5999</v>
      </c>
      <c r="V18" s="9">
        <v>6001</v>
      </c>
      <c r="W18" s="6">
        <v>6001</v>
      </c>
      <c r="X18" s="9">
        <v>6001</v>
      </c>
      <c r="Y18" s="6">
        <v>6001</v>
      </c>
      <c r="Z18" s="6">
        <v>5999</v>
      </c>
      <c r="AA18" s="9">
        <v>6001</v>
      </c>
      <c r="AB18" s="6">
        <v>6001</v>
      </c>
      <c r="AC18" s="9">
        <v>6001</v>
      </c>
      <c r="AD18" s="6">
        <v>6001</v>
      </c>
      <c r="AE18" s="9">
        <v>5999</v>
      </c>
      <c r="AF18" s="9">
        <v>5999</v>
      </c>
      <c r="AG18" s="9">
        <v>5999</v>
      </c>
      <c r="AH18" s="9">
        <v>5999</v>
      </c>
      <c r="AI18" s="9">
        <v>5999</v>
      </c>
      <c r="AJ18" s="9">
        <v>5999</v>
      </c>
      <c r="AK18" s="6">
        <v>5999</v>
      </c>
      <c r="AL18" s="9">
        <v>5999</v>
      </c>
      <c r="AM18" s="6">
        <v>5999</v>
      </c>
      <c r="AN18" s="9">
        <v>5999</v>
      </c>
      <c r="AO18" s="6">
        <v>5999</v>
      </c>
    </row>
    <row r="19" spans="1:41" x14ac:dyDescent="0.25">
      <c r="A19" s="15" t="s">
        <v>24</v>
      </c>
      <c r="B19" s="6" t="s">
        <v>61</v>
      </c>
      <c r="C19" s="9" t="s">
        <v>61</v>
      </c>
      <c r="D19" s="6" t="s">
        <v>61</v>
      </c>
      <c r="E19" s="9" t="s">
        <v>61</v>
      </c>
      <c r="F19" s="6" t="s">
        <v>61</v>
      </c>
      <c r="G19" s="6" t="s">
        <v>61</v>
      </c>
      <c r="H19" s="9" t="s">
        <v>61</v>
      </c>
      <c r="I19" s="6" t="s">
        <v>61</v>
      </c>
      <c r="J19" s="9" t="s">
        <v>61</v>
      </c>
      <c r="K19" s="6" t="s">
        <v>61</v>
      </c>
      <c r="L19" s="9" t="s">
        <v>39</v>
      </c>
      <c r="M19" s="6" t="s">
        <v>39</v>
      </c>
      <c r="N19" s="9" t="s">
        <v>39</v>
      </c>
      <c r="O19" s="6" t="s">
        <v>39</v>
      </c>
      <c r="P19" s="9" t="s">
        <v>39</v>
      </c>
      <c r="Q19" s="6" t="s">
        <v>39</v>
      </c>
      <c r="R19" s="9" t="s">
        <v>39</v>
      </c>
      <c r="S19" s="6" t="s">
        <v>39</v>
      </c>
      <c r="T19" s="9" t="s">
        <v>39</v>
      </c>
      <c r="U19" s="6" t="s">
        <v>39</v>
      </c>
      <c r="V19" s="9" t="s">
        <v>61</v>
      </c>
      <c r="W19" s="9" t="s">
        <v>61</v>
      </c>
      <c r="X19" s="9" t="s">
        <v>61</v>
      </c>
      <c r="Y19" s="9" t="s">
        <v>61</v>
      </c>
      <c r="Z19" s="9" t="s">
        <v>61</v>
      </c>
      <c r="AA19" s="9" t="s">
        <v>39</v>
      </c>
      <c r="AB19" s="6" t="s">
        <v>39</v>
      </c>
      <c r="AC19" s="9" t="s">
        <v>39</v>
      </c>
      <c r="AD19" s="6" t="s">
        <v>39</v>
      </c>
      <c r="AE19" s="9" t="s">
        <v>61</v>
      </c>
      <c r="AF19" s="9" t="s">
        <v>61</v>
      </c>
      <c r="AG19" s="9" t="s">
        <v>61</v>
      </c>
      <c r="AH19" s="9" t="s">
        <v>61</v>
      </c>
      <c r="AI19" s="9" t="s">
        <v>61</v>
      </c>
      <c r="AJ19" s="9" t="s">
        <v>39</v>
      </c>
      <c r="AK19" s="6" t="s">
        <v>39</v>
      </c>
      <c r="AL19" s="9" t="s">
        <v>39</v>
      </c>
      <c r="AM19" s="6" t="s">
        <v>39</v>
      </c>
      <c r="AN19" s="9" t="s">
        <v>39</v>
      </c>
      <c r="AO19" s="6" t="s">
        <v>39</v>
      </c>
    </row>
    <row r="20" spans="1:41" x14ac:dyDescent="0.25">
      <c r="A20" s="15" t="s">
        <v>25</v>
      </c>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spans="1:41" x14ac:dyDescent="0.25">
      <c r="A21" s="20" t="s">
        <v>26</v>
      </c>
      <c r="B21" s="2">
        <v>0</v>
      </c>
      <c r="C21" s="12">
        <v>0</v>
      </c>
      <c r="D21" s="2">
        <v>0</v>
      </c>
      <c r="E21" s="12">
        <v>0</v>
      </c>
      <c r="F21" s="2">
        <v>0</v>
      </c>
      <c r="G21" s="2">
        <v>0</v>
      </c>
      <c r="H21" s="12">
        <v>0</v>
      </c>
      <c r="I21" s="2">
        <v>0</v>
      </c>
      <c r="J21" s="12">
        <v>0</v>
      </c>
      <c r="K21" s="2">
        <v>0</v>
      </c>
      <c r="L21" s="12">
        <v>0</v>
      </c>
      <c r="M21" s="2">
        <v>0</v>
      </c>
      <c r="N21" s="12">
        <v>0</v>
      </c>
      <c r="O21" s="2">
        <v>0</v>
      </c>
      <c r="P21" s="12">
        <v>0</v>
      </c>
      <c r="Q21" s="2">
        <v>0</v>
      </c>
      <c r="R21" s="12">
        <v>0</v>
      </c>
      <c r="S21" s="2">
        <v>0</v>
      </c>
      <c r="T21" s="12">
        <v>0</v>
      </c>
      <c r="U21" s="2">
        <v>0</v>
      </c>
      <c r="V21" s="12">
        <v>0</v>
      </c>
      <c r="W21" s="2">
        <v>0</v>
      </c>
      <c r="X21" s="12">
        <v>0</v>
      </c>
      <c r="Y21" s="2">
        <v>0</v>
      </c>
      <c r="Z21" s="2">
        <v>0</v>
      </c>
      <c r="AA21" s="12">
        <v>0</v>
      </c>
      <c r="AB21" s="2">
        <v>0</v>
      </c>
      <c r="AC21" s="12">
        <v>0</v>
      </c>
      <c r="AD21" s="2">
        <v>0</v>
      </c>
      <c r="AE21" s="12">
        <v>0</v>
      </c>
      <c r="AF21" s="2">
        <v>0</v>
      </c>
      <c r="AG21" s="12">
        <v>0</v>
      </c>
      <c r="AH21" s="2">
        <v>0</v>
      </c>
      <c r="AI21" s="2">
        <v>0</v>
      </c>
      <c r="AJ21" s="12">
        <v>0</v>
      </c>
      <c r="AK21" s="2">
        <v>0</v>
      </c>
      <c r="AL21" s="12">
        <v>0</v>
      </c>
      <c r="AM21" s="2">
        <v>0</v>
      </c>
      <c r="AN21" s="12">
        <v>0</v>
      </c>
      <c r="AO21" s="2">
        <v>0</v>
      </c>
    </row>
    <row r="22" spans="1:41" x14ac:dyDescent="0.25">
      <c r="A22" s="20" t="s">
        <v>27</v>
      </c>
      <c r="B22" s="3">
        <v>0</v>
      </c>
      <c r="C22" s="14">
        <v>0</v>
      </c>
      <c r="D22" s="3">
        <v>0</v>
      </c>
      <c r="E22" s="14">
        <v>0</v>
      </c>
      <c r="F22" s="3">
        <v>0</v>
      </c>
      <c r="G22" s="3">
        <v>0</v>
      </c>
      <c r="H22" s="14">
        <v>0</v>
      </c>
      <c r="I22" s="3">
        <v>0</v>
      </c>
      <c r="J22" s="14">
        <v>0</v>
      </c>
      <c r="K22" s="3">
        <v>0</v>
      </c>
      <c r="L22" s="14">
        <v>0</v>
      </c>
      <c r="M22" s="3">
        <v>0</v>
      </c>
      <c r="N22" s="14">
        <v>0</v>
      </c>
      <c r="O22" s="3">
        <v>0</v>
      </c>
      <c r="P22" s="14">
        <v>0</v>
      </c>
      <c r="Q22" s="3">
        <v>0</v>
      </c>
      <c r="R22" s="14">
        <v>0</v>
      </c>
      <c r="S22" s="3">
        <v>0</v>
      </c>
      <c r="T22" s="14">
        <v>0</v>
      </c>
      <c r="U22" s="3">
        <v>0</v>
      </c>
      <c r="V22" s="14">
        <v>0</v>
      </c>
      <c r="W22" s="3">
        <v>0</v>
      </c>
      <c r="X22" s="14">
        <v>0</v>
      </c>
      <c r="Y22" s="3">
        <v>0</v>
      </c>
      <c r="Z22" s="3">
        <v>0</v>
      </c>
      <c r="AA22" s="14">
        <v>0</v>
      </c>
      <c r="AB22" s="3">
        <v>0</v>
      </c>
      <c r="AC22" s="14">
        <v>0</v>
      </c>
      <c r="AD22" s="3">
        <v>0</v>
      </c>
      <c r="AE22" s="14">
        <v>0</v>
      </c>
      <c r="AF22" s="3">
        <v>0</v>
      </c>
      <c r="AG22" s="14">
        <v>0</v>
      </c>
      <c r="AH22" s="3">
        <v>0</v>
      </c>
      <c r="AI22" s="3">
        <v>0</v>
      </c>
      <c r="AJ22" s="14">
        <v>0</v>
      </c>
      <c r="AK22" s="3">
        <v>0</v>
      </c>
      <c r="AL22" s="14">
        <v>0</v>
      </c>
      <c r="AM22" s="3">
        <v>0</v>
      </c>
      <c r="AN22" s="14">
        <v>0</v>
      </c>
      <c r="AO22" s="3">
        <v>0</v>
      </c>
    </row>
    <row r="23" spans="1:41" x14ac:dyDescent="0.25">
      <c r="A23" s="21" t="s">
        <v>28</v>
      </c>
      <c r="B23" s="4">
        <v>1000</v>
      </c>
      <c r="C23" s="13">
        <v>1000</v>
      </c>
      <c r="D23" s="4">
        <v>1000</v>
      </c>
      <c r="E23" s="13">
        <v>1000</v>
      </c>
      <c r="F23" s="4">
        <v>1000</v>
      </c>
      <c r="G23" s="4" t="str">
        <f>H23</f>
        <v>€950</v>
      </c>
      <c r="H23" s="13" t="str">
        <f>"€" &amp; 1000*0.95</f>
        <v>€950</v>
      </c>
      <c r="I23" s="4" t="str">
        <f>"€" &amp; 1000*0.95</f>
        <v>€950</v>
      </c>
      <c r="J23" s="13" t="str">
        <f>"€" &amp; 1000*0.95</f>
        <v>€950</v>
      </c>
      <c r="K23" s="4" t="str">
        <f>"€" &amp; 1000*0.95</f>
        <v>€950</v>
      </c>
      <c r="L23" s="13">
        <v>1000</v>
      </c>
      <c r="M23" s="4">
        <v>1000</v>
      </c>
      <c r="N23" s="13">
        <v>1000</v>
      </c>
      <c r="O23" s="4" t="str">
        <f>"€" &amp; 2000*0.8/2</f>
        <v>€800</v>
      </c>
      <c r="P23" s="13" t="str">
        <f>"€" &amp; 2000*0.8/2</f>
        <v>€800</v>
      </c>
      <c r="Q23" s="4" t="str">
        <f>"€" &amp; 2000*0.95/2</f>
        <v>€950</v>
      </c>
      <c r="R23" s="13" t="str">
        <f>"€" &amp; 2000*0.95/2</f>
        <v>€950</v>
      </c>
      <c r="S23" s="4" t="str">
        <f>"€" &amp; 2000*0.95/2</f>
        <v>€950</v>
      </c>
      <c r="T23" s="13" t="str">
        <f>"€" &amp; 2000*0.75/2</f>
        <v>€750</v>
      </c>
      <c r="U23" s="4" t="str">
        <f>"€" &amp; 2000*0.75/2</f>
        <v>€750</v>
      </c>
      <c r="V23" s="13" t="str">
        <f>"€" &amp; 2000/2</f>
        <v>€1000</v>
      </c>
      <c r="W23" s="4" t="str">
        <f>"€" &amp; 2000/2</f>
        <v>€1000</v>
      </c>
      <c r="X23" s="13" t="str">
        <f>"€" &amp; 2000/2</f>
        <v>€1000</v>
      </c>
      <c r="Y23" s="4" t="str">
        <f>"€" &amp; 2000/2</f>
        <v>€1000</v>
      </c>
      <c r="Z23" s="4" t="str">
        <f>"€" &amp; 2000/2</f>
        <v>€1000</v>
      </c>
      <c r="AA23" s="13" t="str">
        <f>"€" &amp; 2000*0.8/2</f>
        <v>€800</v>
      </c>
      <c r="AB23" s="4" t="str">
        <f>"€" &amp; 2000*0.7/2</f>
        <v>€700</v>
      </c>
      <c r="AC23" s="13" t="str">
        <f>"€" &amp; 2000*0.6/2</f>
        <v>€600</v>
      </c>
      <c r="AD23" s="4" t="str">
        <f>"€" &amp; 2000*0.5/2</f>
        <v>€500</v>
      </c>
      <c r="AE23" s="13" t="str">
        <f>"€" &amp; 2000/2</f>
        <v>€1000</v>
      </c>
      <c r="AF23" s="4" t="str">
        <f>"€" &amp; 2000*0.95/2</f>
        <v>€950</v>
      </c>
      <c r="AG23" s="13" t="str">
        <f>"€" &amp; 2000*0.95/2</f>
        <v>€950</v>
      </c>
      <c r="AH23" s="4" t="str">
        <f>"€" &amp; 2000*0.95/2</f>
        <v>€950</v>
      </c>
      <c r="AI23" s="4" t="str">
        <f>"€" &amp; 2000*0.95/2</f>
        <v>€950</v>
      </c>
      <c r="AJ23" s="13" t="str">
        <f>"€" &amp; 2000*0.95/2</f>
        <v>€950</v>
      </c>
      <c r="AK23" s="4" t="str">
        <f>"€" &amp; 2000*0.75/2</f>
        <v>€750</v>
      </c>
      <c r="AL23" s="13" t="str">
        <f>"€" &amp; 2000*0.65/2</f>
        <v>€650</v>
      </c>
      <c r="AM23" s="4" t="str">
        <f>"€" &amp; 2000*0.55/2</f>
        <v>€550</v>
      </c>
      <c r="AN23" s="13" t="str">
        <f>"€" &amp; 2000*0.45/2</f>
        <v>€450</v>
      </c>
      <c r="AO23" s="4" t="str">
        <f>"€" &amp; 2000*0.35/2</f>
        <v>€350</v>
      </c>
    </row>
    <row r="24" spans="1:41" x14ac:dyDescent="0.25">
      <c r="A24" s="21" t="s">
        <v>29</v>
      </c>
      <c r="B24" s="5">
        <f t="shared" ref="B24:K24" si="2">B23/12</f>
        <v>83.333333333333329</v>
      </c>
      <c r="C24" s="19">
        <f t="shared" si="2"/>
        <v>83.333333333333329</v>
      </c>
      <c r="D24" s="5">
        <f t="shared" si="2"/>
        <v>83.333333333333329</v>
      </c>
      <c r="E24" s="19">
        <f t="shared" si="2"/>
        <v>83.333333333333329</v>
      </c>
      <c r="F24" s="5">
        <f t="shared" si="2"/>
        <v>83.333333333333329</v>
      </c>
      <c r="G24" s="5">
        <f t="shared" si="2"/>
        <v>79.166666666666671</v>
      </c>
      <c r="H24" s="19">
        <f t="shared" si="2"/>
        <v>79.166666666666671</v>
      </c>
      <c r="I24" s="5">
        <f t="shared" si="2"/>
        <v>79.166666666666671</v>
      </c>
      <c r="J24" s="19">
        <f t="shared" si="2"/>
        <v>79.166666666666671</v>
      </c>
      <c r="K24" s="5">
        <f t="shared" si="2"/>
        <v>79.166666666666671</v>
      </c>
      <c r="L24" s="19">
        <f t="shared" ref="L24:AO24" si="3">L23/12</f>
        <v>83.333333333333329</v>
      </c>
      <c r="M24" s="5">
        <f t="shared" si="3"/>
        <v>83.333333333333329</v>
      </c>
      <c r="N24" s="19">
        <f t="shared" si="3"/>
        <v>83.333333333333329</v>
      </c>
      <c r="O24" s="5">
        <f t="shared" si="3"/>
        <v>66.666666666666671</v>
      </c>
      <c r="P24" s="19">
        <f t="shared" si="3"/>
        <v>66.666666666666671</v>
      </c>
      <c r="Q24" s="5">
        <f t="shared" si="3"/>
        <v>79.166666666666671</v>
      </c>
      <c r="R24" s="19">
        <f t="shared" si="3"/>
        <v>79.166666666666671</v>
      </c>
      <c r="S24" s="5">
        <f t="shared" si="3"/>
        <v>79.166666666666671</v>
      </c>
      <c r="T24" s="19">
        <f t="shared" si="3"/>
        <v>62.5</v>
      </c>
      <c r="U24" s="5">
        <f t="shared" si="3"/>
        <v>62.5</v>
      </c>
      <c r="V24" s="19">
        <f t="shared" si="3"/>
        <v>83.333333333333329</v>
      </c>
      <c r="W24" s="5">
        <f t="shared" si="3"/>
        <v>83.333333333333329</v>
      </c>
      <c r="X24" s="19">
        <f t="shared" si="3"/>
        <v>83.333333333333329</v>
      </c>
      <c r="Y24" s="5">
        <f t="shared" si="3"/>
        <v>83.333333333333329</v>
      </c>
      <c r="Z24" s="5">
        <f t="shared" si="3"/>
        <v>83.333333333333329</v>
      </c>
      <c r="AA24" s="19">
        <f t="shared" si="3"/>
        <v>66.666666666666671</v>
      </c>
      <c r="AB24" s="5">
        <f t="shared" si="3"/>
        <v>58.333333333333336</v>
      </c>
      <c r="AC24" s="19">
        <f t="shared" si="3"/>
        <v>50</v>
      </c>
      <c r="AD24" s="5">
        <f t="shared" si="3"/>
        <v>41.666666666666664</v>
      </c>
      <c r="AE24" s="19">
        <f t="shared" si="3"/>
        <v>83.333333333333329</v>
      </c>
      <c r="AF24" s="5">
        <f t="shared" si="3"/>
        <v>79.166666666666671</v>
      </c>
      <c r="AG24" s="19">
        <f t="shared" si="3"/>
        <v>79.166666666666671</v>
      </c>
      <c r="AH24" s="5">
        <f t="shared" si="3"/>
        <v>79.166666666666671</v>
      </c>
      <c r="AI24" s="5">
        <f t="shared" si="3"/>
        <v>79.166666666666671</v>
      </c>
      <c r="AJ24" s="19">
        <f t="shared" si="3"/>
        <v>79.166666666666671</v>
      </c>
      <c r="AK24" s="5">
        <f t="shared" si="3"/>
        <v>62.5</v>
      </c>
      <c r="AL24" s="19">
        <f t="shared" si="3"/>
        <v>54.166666666666664</v>
      </c>
      <c r="AM24" s="5">
        <f t="shared" si="3"/>
        <v>45.833333333333336</v>
      </c>
      <c r="AN24" s="19">
        <f t="shared" si="3"/>
        <v>37.5</v>
      </c>
      <c r="AO24" s="5">
        <f t="shared" si="3"/>
        <v>29.166666666666668</v>
      </c>
    </row>
    <row r="28" spans="1:41" ht="45" x14ac:dyDescent="0.25">
      <c r="A28" s="22" t="s">
        <v>44</v>
      </c>
      <c r="B28" s="22" t="s">
        <v>81</v>
      </c>
      <c r="C28" s="22" t="s">
        <v>83</v>
      </c>
      <c r="D28" s="22" t="s">
        <v>88</v>
      </c>
      <c r="E28" s="22" t="s">
        <v>87</v>
      </c>
      <c r="F28" s="22" t="s">
        <v>86</v>
      </c>
      <c r="G28" s="22" t="s">
        <v>85</v>
      </c>
      <c r="H28" s="22" t="s">
        <v>84</v>
      </c>
      <c r="I28" s="22" t="s">
        <v>89</v>
      </c>
      <c r="J28" s="22" t="s">
        <v>90</v>
      </c>
      <c r="K28" s="22" t="s">
        <v>91</v>
      </c>
      <c r="L28" s="22" t="s">
        <v>92</v>
      </c>
      <c r="M28" s="22" t="s">
        <v>93</v>
      </c>
      <c r="N28" s="22" t="s">
        <v>94</v>
      </c>
      <c r="O28" s="28" t="s">
        <v>79</v>
      </c>
      <c r="P28" s="28" t="s">
        <v>40</v>
      </c>
      <c r="Q28" s="28" t="s">
        <v>41</v>
      </c>
      <c r="R28" s="28" t="s">
        <v>42</v>
      </c>
      <c r="S28" s="28" t="s">
        <v>43</v>
      </c>
      <c r="T28" s="28" t="s">
        <v>45</v>
      </c>
      <c r="U28" s="28" t="s">
        <v>72</v>
      </c>
      <c r="V28" s="28" t="s">
        <v>51</v>
      </c>
      <c r="W28" s="28" t="s">
        <v>52</v>
      </c>
      <c r="X28" s="28" t="s">
        <v>53</v>
      </c>
      <c r="Y28" s="28" t="s">
        <v>54</v>
      </c>
      <c r="Z28" s="28" t="s">
        <v>66</v>
      </c>
    </row>
    <row r="29" spans="1:41" x14ac:dyDescent="0.25">
      <c r="A29" s="16" t="s">
        <v>0</v>
      </c>
      <c r="B29" s="17">
        <v>1</v>
      </c>
      <c r="C29" s="17">
        <v>2</v>
      </c>
      <c r="D29" s="17">
        <v>3</v>
      </c>
      <c r="E29" s="17">
        <v>4</v>
      </c>
      <c r="F29" s="17">
        <v>5</v>
      </c>
      <c r="G29" s="17">
        <v>6</v>
      </c>
      <c r="H29" s="17">
        <v>7</v>
      </c>
      <c r="I29" s="17">
        <v>8</v>
      </c>
      <c r="J29" s="17">
        <v>9</v>
      </c>
      <c r="K29" s="17">
        <v>10</v>
      </c>
      <c r="L29" s="17">
        <v>11</v>
      </c>
      <c r="M29" s="17">
        <v>12</v>
      </c>
      <c r="N29" s="17">
        <v>11</v>
      </c>
      <c r="O29" s="17">
        <v>13</v>
      </c>
      <c r="P29" s="17">
        <v>14</v>
      </c>
      <c r="Q29" s="17">
        <v>15</v>
      </c>
      <c r="R29" s="17">
        <v>16</v>
      </c>
      <c r="S29" s="17">
        <v>17</v>
      </c>
      <c r="T29" s="17">
        <v>18</v>
      </c>
      <c r="U29" s="17">
        <v>19</v>
      </c>
      <c r="V29" s="17">
        <v>20</v>
      </c>
      <c r="W29" s="17">
        <v>21</v>
      </c>
      <c r="X29" s="17">
        <v>22</v>
      </c>
      <c r="Y29" s="17">
        <v>23</v>
      </c>
      <c r="Z29" s="17">
        <v>24</v>
      </c>
    </row>
    <row r="30" spans="1:41" x14ac:dyDescent="0.25">
      <c r="A30" s="15" t="s">
        <v>7</v>
      </c>
      <c r="B30" s="18" t="s">
        <v>8</v>
      </c>
      <c r="C30" s="18" t="s">
        <v>8</v>
      </c>
      <c r="D30" s="18" t="s">
        <v>8</v>
      </c>
      <c r="E30" s="18" t="s">
        <v>8</v>
      </c>
      <c r="F30" s="18" t="s">
        <v>8</v>
      </c>
      <c r="G30" s="18" t="s">
        <v>8</v>
      </c>
      <c r="H30" s="18" t="s">
        <v>8</v>
      </c>
      <c r="I30" s="18" t="s">
        <v>8</v>
      </c>
      <c r="J30" s="18" t="s">
        <v>8</v>
      </c>
      <c r="K30" s="18" t="s">
        <v>8</v>
      </c>
      <c r="L30" s="18" t="s">
        <v>8</v>
      </c>
      <c r="M30" s="18" t="s">
        <v>8</v>
      </c>
      <c r="N30" s="18" t="s">
        <v>8</v>
      </c>
      <c r="O30" s="15"/>
      <c r="P30" s="18" t="s">
        <v>8</v>
      </c>
      <c r="Q30" s="18" t="s">
        <v>8</v>
      </c>
      <c r="R30" s="18" t="s">
        <v>8</v>
      </c>
      <c r="S30" s="18" t="s">
        <v>8</v>
      </c>
      <c r="T30" s="18" t="s">
        <v>8</v>
      </c>
      <c r="U30" s="18" t="s">
        <v>8</v>
      </c>
      <c r="V30" s="18" t="s">
        <v>8</v>
      </c>
      <c r="W30" s="18" t="s">
        <v>8</v>
      </c>
      <c r="X30" s="18" t="s">
        <v>8</v>
      </c>
      <c r="Y30" s="18" t="s">
        <v>8</v>
      </c>
      <c r="Z30" s="18" t="s">
        <v>8</v>
      </c>
    </row>
    <row r="31" spans="1:41" x14ac:dyDescent="0.25">
      <c r="A31" s="15" t="s">
        <v>9</v>
      </c>
      <c r="B31" s="6" t="s">
        <v>30</v>
      </c>
      <c r="C31" s="9" t="s">
        <v>30</v>
      </c>
      <c r="D31" s="6" t="s">
        <v>30</v>
      </c>
      <c r="E31" s="9" t="s">
        <v>30</v>
      </c>
      <c r="F31" s="6" t="s">
        <v>30</v>
      </c>
      <c r="G31" s="9" t="s">
        <v>30</v>
      </c>
      <c r="H31" s="6" t="s">
        <v>30</v>
      </c>
      <c r="I31" s="9" t="s">
        <v>30</v>
      </c>
      <c r="J31" s="6" t="s">
        <v>30</v>
      </c>
      <c r="K31" s="9" t="s">
        <v>30</v>
      </c>
      <c r="L31" s="6" t="s">
        <v>30</v>
      </c>
      <c r="M31" s="9" t="s">
        <v>30</v>
      </c>
      <c r="N31" s="6" t="s">
        <v>30</v>
      </c>
      <c r="O31" s="9" t="s">
        <v>30</v>
      </c>
      <c r="P31" s="6" t="s">
        <v>30</v>
      </c>
      <c r="Q31" s="9" t="s">
        <v>30</v>
      </c>
      <c r="R31" s="6" t="s">
        <v>30</v>
      </c>
      <c r="S31" s="9" t="s">
        <v>30</v>
      </c>
      <c r="T31" s="6" t="s">
        <v>30</v>
      </c>
      <c r="U31" s="9" t="s">
        <v>30</v>
      </c>
      <c r="V31" s="6" t="s">
        <v>30</v>
      </c>
      <c r="W31" s="9" t="s">
        <v>30</v>
      </c>
      <c r="X31" s="6" t="s">
        <v>30</v>
      </c>
      <c r="Y31" s="9" t="s">
        <v>30</v>
      </c>
      <c r="Z31" s="6" t="s">
        <v>30</v>
      </c>
    </row>
    <row r="32" spans="1:41" x14ac:dyDescent="0.25">
      <c r="A32" s="15" t="s">
        <v>10</v>
      </c>
      <c r="B32" s="6" t="s">
        <v>31</v>
      </c>
      <c r="C32" s="9" t="s">
        <v>31</v>
      </c>
      <c r="D32" s="6" t="s">
        <v>31</v>
      </c>
      <c r="E32" s="9" t="s">
        <v>31</v>
      </c>
      <c r="F32" s="6" t="s">
        <v>31</v>
      </c>
      <c r="G32" s="9" t="s">
        <v>31</v>
      </c>
      <c r="H32" s="6" t="s">
        <v>31</v>
      </c>
      <c r="I32" s="9" t="s">
        <v>31</v>
      </c>
      <c r="J32" s="6" t="s">
        <v>31</v>
      </c>
      <c r="K32" s="9" t="s">
        <v>31</v>
      </c>
      <c r="L32" s="6" t="s">
        <v>31</v>
      </c>
      <c r="M32" s="9" t="s">
        <v>31</v>
      </c>
      <c r="N32" s="6" t="s">
        <v>31</v>
      </c>
      <c r="O32" s="9" t="s">
        <v>31</v>
      </c>
      <c r="P32" s="6" t="s">
        <v>31</v>
      </c>
      <c r="Q32" s="9" t="s">
        <v>31</v>
      </c>
      <c r="R32" s="6" t="s">
        <v>31</v>
      </c>
      <c r="S32" s="9" t="s">
        <v>31</v>
      </c>
      <c r="T32" s="6" t="s">
        <v>31</v>
      </c>
      <c r="U32" s="9" t="s">
        <v>31</v>
      </c>
      <c r="V32" s="6" t="s">
        <v>31</v>
      </c>
      <c r="W32" s="9" t="s">
        <v>31</v>
      </c>
      <c r="X32" s="6" t="s">
        <v>31</v>
      </c>
      <c r="Y32" s="9" t="s">
        <v>31</v>
      </c>
      <c r="Z32" s="6" t="s">
        <v>31</v>
      </c>
    </row>
    <row r="33" spans="1:26" x14ac:dyDescent="0.25">
      <c r="A33" s="15" t="s">
        <v>11</v>
      </c>
      <c r="B33" s="6" t="s">
        <v>36</v>
      </c>
      <c r="C33" s="9" t="s">
        <v>36</v>
      </c>
      <c r="D33" s="6" t="s">
        <v>36</v>
      </c>
      <c r="E33" s="9" t="s">
        <v>36</v>
      </c>
      <c r="F33" s="6" t="s">
        <v>36</v>
      </c>
      <c r="G33" s="9" t="s">
        <v>36</v>
      </c>
      <c r="H33" s="6" t="s">
        <v>36</v>
      </c>
      <c r="I33" s="9" t="s">
        <v>36</v>
      </c>
      <c r="J33" s="6" t="s">
        <v>36</v>
      </c>
      <c r="K33" s="9" t="s">
        <v>36</v>
      </c>
      <c r="L33" s="6" t="s">
        <v>36</v>
      </c>
      <c r="M33" s="9" t="s">
        <v>36</v>
      </c>
      <c r="N33" s="6" t="s">
        <v>36</v>
      </c>
      <c r="O33" s="9" t="s">
        <v>36</v>
      </c>
      <c r="P33" s="6" t="s">
        <v>36</v>
      </c>
      <c r="Q33" s="9" t="s">
        <v>36</v>
      </c>
      <c r="R33" s="6" t="s">
        <v>36</v>
      </c>
      <c r="S33" s="9" t="s">
        <v>36</v>
      </c>
      <c r="T33" s="6" t="s">
        <v>36</v>
      </c>
      <c r="U33" s="9" t="s">
        <v>36</v>
      </c>
      <c r="V33" s="6" t="s">
        <v>36</v>
      </c>
      <c r="W33" s="9" t="s">
        <v>36</v>
      </c>
      <c r="X33" s="6" t="s">
        <v>36</v>
      </c>
      <c r="Y33" s="9" t="s">
        <v>36</v>
      </c>
      <c r="Z33" s="6" t="s">
        <v>36</v>
      </c>
    </row>
    <row r="34" spans="1:26" x14ac:dyDescent="0.25">
      <c r="A34" s="15" t="s">
        <v>12</v>
      </c>
      <c r="B34" s="6" t="s">
        <v>32</v>
      </c>
      <c r="C34" s="9" t="s">
        <v>32</v>
      </c>
      <c r="D34" s="6" t="s">
        <v>32</v>
      </c>
      <c r="E34" s="9" t="s">
        <v>32</v>
      </c>
      <c r="F34" s="6" t="s">
        <v>32</v>
      </c>
      <c r="G34" s="9" t="s">
        <v>32</v>
      </c>
      <c r="H34" s="6" t="s">
        <v>32</v>
      </c>
      <c r="I34" s="9" t="s">
        <v>32</v>
      </c>
      <c r="J34" s="6" t="s">
        <v>32</v>
      </c>
      <c r="K34" s="9" t="s">
        <v>32</v>
      </c>
      <c r="L34" s="6" t="s">
        <v>32</v>
      </c>
      <c r="M34" s="9" t="s">
        <v>32</v>
      </c>
      <c r="N34" s="6" t="s">
        <v>32</v>
      </c>
      <c r="O34" s="9" t="s">
        <v>32</v>
      </c>
      <c r="P34" s="6" t="s">
        <v>32</v>
      </c>
      <c r="Q34" s="9" t="s">
        <v>32</v>
      </c>
      <c r="R34" s="6" t="s">
        <v>32</v>
      </c>
      <c r="S34" s="9" t="s">
        <v>32</v>
      </c>
      <c r="T34" s="6" t="s">
        <v>32</v>
      </c>
      <c r="U34" s="9" t="s">
        <v>32</v>
      </c>
      <c r="V34" s="6" t="s">
        <v>32</v>
      </c>
      <c r="W34" s="9" t="s">
        <v>32</v>
      </c>
      <c r="X34" s="6" t="s">
        <v>32</v>
      </c>
      <c r="Y34" s="9" t="s">
        <v>32</v>
      </c>
      <c r="Z34" s="6" t="s">
        <v>32</v>
      </c>
    </row>
    <row r="35" spans="1:26" x14ac:dyDescent="0.25">
      <c r="A35" s="15" t="s">
        <v>13</v>
      </c>
      <c r="B35" s="6" t="s">
        <v>33</v>
      </c>
      <c r="C35" s="9" t="s">
        <v>33</v>
      </c>
      <c r="D35" s="6" t="s">
        <v>33</v>
      </c>
      <c r="E35" s="9" t="s">
        <v>33</v>
      </c>
      <c r="F35" s="6" t="s">
        <v>33</v>
      </c>
      <c r="G35" s="9" t="s">
        <v>33</v>
      </c>
      <c r="H35" s="6" t="s">
        <v>33</v>
      </c>
      <c r="I35" s="9" t="s">
        <v>33</v>
      </c>
      <c r="J35" s="6" t="s">
        <v>33</v>
      </c>
      <c r="K35" s="9" t="s">
        <v>33</v>
      </c>
      <c r="L35" s="6" t="s">
        <v>33</v>
      </c>
      <c r="M35" s="9" t="s">
        <v>33</v>
      </c>
      <c r="N35" s="6" t="s">
        <v>33</v>
      </c>
      <c r="O35" s="9" t="s">
        <v>33</v>
      </c>
      <c r="P35" s="6" t="s">
        <v>33</v>
      </c>
      <c r="Q35" s="9" t="s">
        <v>33</v>
      </c>
      <c r="R35" s="6" t="s">
        <v>33</v>
      </c>
      <c r="S35" s="9" t="s">
        <v>33</v>
      </c>
      <c r="T35" s="6" t="s">
        <v>33</v>
      </c>
      <c r="U35" s="9" t="s">
        <v>33</v>
      </c>
      <c r="V35" s="6" t="s">
        <v>33</v>
      </c>
      <c r="W35" s="9" t="s">
        <v>33</v>
      </c>
      <c r="X35" s="6" t="s">
        <v>33</v>
      </c>
      <c r="Y35" s="9" t="s">
        <v>33</v>
      </c>
      <c r="Z35" s="6" t="s">
        <v>33</v>
      </c>
    </row>
    <row r="36" spans="1:26" x14ac:dyDescent="0.25">
      <c r="A36" s="15" t="s">
        <v>14</v>
      </c>
      <c r="B36" s="6" t="s">
        <v>34</v>
      </c>
      <c r="C36" s="9" t="s">
        <v>34</v>
      </c>
      <c r="D36" s="6" t="s">
        <v>34</v>
      </c>
      <c r="E36" s="9" t="s">
        <v>34</v>
      </c>
      <c r="F36" s="6" t="s">
        <v>34</v>
      </c>
      <c r="G36" s="9" t="s">
        <v>34</v>
      </c>
      <c r="H36" s="6" t="s">
        <v>34</v>
      </c>
      <c r="I36" s="9" t="s">
        <v>34</v>
      </c>
      <c r="J36" s="6" t="s">
        <v>34</v>
      </c>
      <c r="K36" s="9" t="s">
        <v>34</v>
      </c>
      <c r="L36" s="6" t="s">
        <v>34</v>
      </c>
      <c r="M36" s="9" t="s">
        <v>34</v>
      </c>
      <c r="N36" s="6" t="s">
        <v>34</v>
      </c>
      <c r="O36" s="9" t="s">
        <v>34</v>
      </c>
      <c r="P36" s="6" t="s">
        <v>34</v>
      </c>
      <c r="Q36" s="9" t="s">
        <v>34</v>
      </c>
      <c r="R36" s="6" t="s">
        <v>34</v>
      </c>
      <c r="S36" s="9" t="s">
        <v>34</v>
      </c>
      <c r="T36" s="6" t="s">
        <v>34</v>
      </c>
      <c r="U36" s="9" t="s">
        <v>34</v>
      </c>
      <c r="V36" s="6" t="s">
        <v>34</v>
      </c>
      <c r="W36" s="9" t="s">
        <v>34</v>
      </c>
      <c r="X36" s="6" t="s">
        <v>34</v>
      </c>
      <c r="Y36" s="9" t="s">
        <v>34</v>
      </c>
      <c r="Z36" s="6" t="s">
        <v>34</v>
      </c>
    </row>
    <row r="37" spans="1:26" x14ac:dyDescent="0.25">
      <c r="A37" s="15" t="s">
        <v>15</v>
      </c>
      <c r="B37" s="6" t="str">
        <f>"+353872356485"</f>
        <v>+353872356485</v>
      </c>
      <c r="C37" s="9" t="str">
        <f t="shared" ref="C37:M37" si="4">"+353872356485"</f>
        <v>+353872356485</v>
      </c>
      <c r="D37" s="6" t="str">
        <f t="shared" si="4"/>
        <v>+353872356485</v>
      </c>
      <c r="E37" s="9" t="str">
        <f t="shared" si="4"/>
        <v>+353872356485</v>
      </c>
      <c r="F37" s="6" t="str">
        <f t="shared" si="4"/>
        <v>+353872356485</v>
      </c>
      <c r="G37" s="9" t="str">
        <f t="shared" si="4"/>
        <v>+353872356485</v>
      </c>
      <c r="H37" s="6" t="str">
        <f t="shared" si="4"/>
        <v>+353872356485</v>
      </c>
      <c r="I37" s="9" t="str">
        <f t="shared" si="4"/>
        <v>+353872356485</v>
      </c>
      <c r="J37" s="6" t="str">
        <f t="shared" si="4"/>
        <v>+353872356485</v>
      </c>
      <c r="K37" s="9" t="str">
        <f t="shared" si="4"/>
        <v>+353872356485</v>
      </c>
      <c r="L37" s="6" t="str">
        <f t="shared" si="4"/>
        <v>+353872356485</v>
      </c>
      <c r="M37" s="9" t="str">
        <f t="shared" si="4"/>
        <v>+353872356485</v>
      </c>
      <c r="N37" s="6" t="str">
        <f t="shared" ref="N37:Z37" si="5">"+353872356485"</f>
        <v>+353872356485</v>
      </c>
      <c r="O37" s="9" t="str">
        <f>"+353872356485"</f>
        <v>+353872356485</v>
      </c>
      <c r="P37" s="6" t="str">
        <f t="shared" si="5"/>
        <v>+353872356485</v>
      </c>
      <c r="Q37" s="9" t="str">
        <f t="shared" si="5"/>
        <v>+353872356485</v>
      </c>
      <c r="R37" s="6" t="str">
        <f t="shared" si="5"/>
        <v>+353872356485</v>
      </c>
      <c r="S37" s="9" t="str">
        <f t="shared" si="5"/>
        <v>+353872356485</v>
      </c>
      <c r="T37" s="6" t="str">
        <f t="shared" si="5"/>
        <v>+353872356485</v>
      </c>
      <c r="U37" s="9" t="str">
        <f t="shared" si="5"/>
        <v>+353872356485</v>
      </c>
      <c r="V37" s="6" t="str">
        <f t="shared" si="5"/>
        <v>+353872356485</v>
      </c>
      <c r="W37" s="9" t="str">
        <f t="shared" si="5"/>
        <v>+353872356485</v>
      </c>
      <c r="X37" s="6" t="str">
        <f t="shared" si="5"/>
        <v>+353872356485</v>
      </c>
      <c r="Y37" s="9" t="str">
        <f t="shared" si="5"/>
        <v>+353872356485</v>
      </c>
      <c r="Z37" s="6" t="str">
        <f t="shared" si="5"/>
        <v>+353872356485</v>
      </c>
    </row>
    <row r="38" spans="1:26" x14ac:dyDescent="0.25">
      <c r="A38" s="15" t="s">
        <v>16</v>
      </c>
      <c r="B38" s="7">
        <v>35582</v>
      </c>
      <c r="C38" s="10">
        <v>35582</v>
      </c>
      <c r="D38" s="7">
        <v>35582</v>
      </c>
      <c r="E38" s="10">
        <v>35582</v>
      </c>
      <c r="F38" s="7">
        <v>35582</v>
      </c>
      <c r="G38" s="10">
        <v>35582</v>
      </c>
      <c r="H38" s="7">
        <v>35582</v>
      </c>
      <c r="I38" s="10">
        <v>35582</v>
      </c>
      <c r="J38" s="7">
        <v>35582</v>
      </c>
      <c r="K38" s="10">
        <v>35582</v>
      </c>
      <c r="L38" s="7">
        <v>35582</v>
      </c>
      <c r="M38" s="10">
        <v>35582</v>
      </c>
      <c r="N38" s="7">
        <v>35582</v>
      </c>
      <c r="O38" s="10">
        <v>35582</v>
      </c>
      <c r="P38" s="7">
        <v>35582</v>
      </c>
      <c r="Q38" s="10">
        <v>35582</v>
      </c>
      <c r="R38" s="7">
        <v>35582</v>
      </c>
      <c r="S38" s="10">
        <v>35582</v>
      </c>
      <c r="T38" s="7">
        <v>35582</v>
      </c>
      <c r="U38" s="10">
        <v>35582</v>
      </c>
      <c r="V38" s="7">
        <v>35582</v>
      </c>
      <c r="W38" s="10">
        <v>35582</v>
      </c>
      <c r="X38" s="7">
        <v>35582</v>
      </c>
      <c r="Y38" s="10">
        <v>35582</v>
      </c>
      <c r="Z38" s="7">
        <v>35582</v>
      </c>
    </row>
    <row r="39" spans="1:26" x14ac:dyDescent="0.25">
      <c r="A39" s="15" t="s">
        <v>17</v>
      </c>
      <c r="B39" s="6" t="s">
        <v>82</v>
      </c>
      <c r="C39" s="9" t="s">
        <v>82</v>
      </c>
      <c r="D39" s="6" t="s">
        <v>82</v>
      </c>
      <c r="E39" s="9" t="s">
        <v>82</v>
      </c>
      <c r="F39" s="6" t="s">
        <v>82</v>
      </c>
      <c r="G39" s="9" t="s">
        <v>82</v>
      </c>
      <c r="H39" s="6" t="s">
        <v>82</v>
      </c>
      <c r="I39" s="9" t="s">
        <v>82</v>
      </c>
      <c r="J39" s="6" t="s">
        <v>82</v>
      </c>
      <c r="K39" s="9" t="s">
        <v>82</v>
      </c>
      <c r="L39" s="6" t="s">
        <v>82</v>
      </c>
      <c r="M39" s="9" t="s">
        <v>82</v>
      </c>
      <c r="N39" s="6" t="s">
        <v>82</v>
      </c>
      <c r="O39" s="9" t="s">
        <v>35</v>
      </c>
      <c r="P39" s="6" t="s">
        <v>35</v>
      </c>
      <c r="Q39" s="9" t="s">
        <v>35</v>
      </c>
      <c r="R39" s="6" t="s">
        <v>35</v>
      </c>
      <c r="S39" s="9" t="s">
        <v>35</v>
      </c>
      <c r="T39" s="6" t="s">
        <v>35</v>
      </c>
      <c r="U39" s="9" t="s">
        <v>35</v>
      </c>
      <c r="V39" s="6" t="s">
        <v>35</v>
      </c>
      <c r="W39" s="9" t="s">
        <v>35</v>
      </c>
      <c r="X39" s="6" t="s">
        <v>35</v>
      </c>
      <c r="Y39" s="9" t="s">
        <v>35</v>
      </c>
      <c r="Z39" s="6" t="s">
        <v>35</v>
      </c>
    </row>
    <row r="40" spans="1:26" x14ac:dyDescent="0.25">
      <c r="A40" s="15" t="s">
        <v>18</v>
      </c>
      <c r="B40" s="6" t="s">
        <v>37</v>
      </c>
      <c r="C40" s="9" t="s">
        <v>37</v>
      </c>
      <c r="D40" s="6" t="s">
        <v>37</v>
      </c>
      <c r="E40" s="9" t="s">
        <v>37</v>
      </c>
      <c r="F40" s="6" t="s">
        <v>37</v>
      </c>
      <c r="G40" s="9" t="s">
        <v>37</v>
      </c>
      <c r="H40" s="6" t="s">
        <v>37</v>
      </c>
      <c r="I40" s="9" t="s">
        <v>37</v>
      </c>
      <c r="J40" s="6" t="s">
        <v>37</v>
      </c>
      <c r="K40" s="9" t="s">
        <v>37</v>
      </c>
      <c r="L40" s="6" t="s">
        <v>37</v>
      </c>
      <c r="M40" s="9" t="s">
        <v>37</v>
      </c>
      <c r="N40" s="6" t="s">
        <v>37</v>
      </c>
      <c r="O40" s="9" t="s">
        <v>37</v>
      </c>
      <c r="P40" s="6" t="s">
        <v>37</v>
      </c>
      <c r="Q40" s="9" t="s">
        <v>37</v>
      </c>
      <c r="R40" s="6" t="s">
        <v>37</v>
      </c>
      <c r="S40" s="9" t="s">
        <v>37</v>
      </c>
      <c r="T40" s="6" t="s">
        <v>37</v>
      </c>
      <c r="U40" s="9" t="s">
        <v>37</v>
      </c>
      <c r="V40" s="6" t="s">
        <v>37</v>
      </c>
      <c r="W40" s="9" t="s">
        <v>37</v>
      </c>
      <c r="X40" s="6" t="s">
        <v>37</v>
      </c>
      <c r="Y40" s="9" t="s">
        <v>37</v>
      </c>
      <c r="Z40" s="6" t="s">
        <v>37</v>
      </c>
    </row>
    <row r="41" spans="1:26" x14ac:dyDescent="0.25">
      <c r="A41" s="15" t="s">
        <v>19</v>
      </c>
      <c r="B41" s="6">
        <v>2009</v>
      </c>
      <c r="C41" s="9">
        <v>2009</v>
      </c>
      <c r="D41" s="6">
        <v>2009</v>
      </c>
      <c r="E41" s="9">
        <v>2009</v>
      </c>
      <c r="F41" s="6">
        <v>2009</v>
      </c>
      <c r="G41" s="9">
        <v>2009</v>
      </c>
      <c r="H41" s="6">
        <v>2009</v>
      </c>
      <c r="I41" s="9">
        <v>2009</v>
      </c>
      <c r="J41" s="6">
        <v>2009</v>
      </c>
      <c r="K41" s="9">
        <v>2009</v>
      </c>
      <c r="L41" s="6">
        <v>2009</v>
      </c>
      <c r="M41" s="9">
        <v>2009</v>
      </c>
      <c r="N41" s="6">
        <v>2009</v>
      </c>
      <c r="O41" s="9">
        <v>2009</v>
      </c>
      <c r="P41" s="6">
        <v>2009</v>
      </c>
      <c r="Q41" s="9">
        <v>2009</v>
      </c>
      <c r="R41" s="6">
        <v>2009</v>
      </c>
      <c r="S41" s="9">
        <v>2009</v>
      </c>
      <c r="T41" s="6">
        <v>2009</v>
      </c>
      <c r="U41" s="9">
        <v>2009</v>
      </c>
      <c r="V41" s="6">
        <v>2009</v>
      </c>
      <c r="W41" s="9">
        <v>2009</v>
      </c>
      <c r="X41" s="6">
        <v>2009</v>
      </c>
      <c r="Y41" s="9">
        <v>2009</v>
      </c>
      <c r="Z41" s="6">
        <v>2009</v>
      </c>
    </row>
    <row r="42" spans="1:26" x14ac:dyDescent="0.25">
      <c r="A42" s="15" t="s">
        <v>20</v>
      </c>
      <c r="B42" s="6">
        <v>2001</v>
      </c>
      <c r="C42" s="9">
        <v>2001</v>
      </c>
      <c r="D42" s="6">
        <v>1999</v>
      </c>
      <c r="E42" s="9">
        <v>1500</v>
      </c>
      <c r="F42" s="6">
        <v>1000</v>
      </c>
      <c r="G42" s="9">
        <v>800</v>
      </c>
      <c r="H42" s="6">
        <v>2001</v>
      </c>
      <c r="I42" s="9">
        <v>2001</v>
      </c>
      <c r="J42" s="6">
        <v>1999</v>
      </c>
      <c r="K42" s="9">
        <v>1500</v>
      </c>
      <c r="L42" s="6">
        <v>1000</v>
      </c>
      <c r="M42" s="9">
        <v>800</v>
      </c>
      <c r="N42" s="6">
        <v>1000</v>
      </c>
      <c r="O42" s="9">
        <v>2001</v>
      </c>
      <c r="P42" s="6">
        <v>2001</v>
      </c>
      <c r="Q42" s="9">
        <v>1999</v>
      </c>
      <c r="R42" s="6">
        <v>1500</v>
      </c>
      <c r="S42" s="9">
        <v>1000</v>
      </c>
      <c r="T42" s="6">
        <v>800</v>
      </c>
      <c r="U42" s="9">
        <v>2001</v>
      </c>
      <c r="V42" s="6">
        <v>2001</v>
      </c>
      <c r="W42" s="9">
        <v>1999</v>
      </c>
      <c r="X42" s="6">
        <v>1500</v>
      </c>
      <c r="Y42" s="9">
        <v>1000</v>
      </c>
      <c r="Z42" s="6">
        <v>2001</v>
      </c>
    </row>
    <row r="43" spans="1:26" x14ac:dyDescent="0.25">
      <c r="A43" s="15" t="s">
        <v>21</v>
      </c>
      <c r="B43" s="6" t="s">
        <v>38</v>
      </c>
      <c r="C43" s="9" t="s">
        <v>38</v>
      </c>
      <c r="D43" s="6" t="s">
        <v>38</v>
      </c>
      <c r="E43" s="9" t="s">
        <v>38</v>
      </c>
      <c r="F43" s="6" t="s">
        <v>38</v>
      </c>
      <c r="G43" s="9" t="s">
        <v>38</v>
      </c>
      <c r="H43" s="6" t="s">
        <v>38</v>
      </c>
      <c r="I43" s="9" t="s">
        <v>38</v>
      </c>
      <c r="J43" s="6" t="s">
        <v>38</v>
      </c>
      <c r="K43" s="9" t="s">
        <v>38</v>
      </c>
      <c r="L43" s="6" t="s">
        <v>38</v>
      </c>
      <c r="M43" s="9" t="s">
        <v>38</v>
      </c>
      <c r="N43" s="6" t="s">
        <v>38</v>
      </c>
      <c r="O43" s="9" t="s">
        <v>38</v>
      </c>
      <c r="P43" s="6" t="s">
        <v>38</v>
      </c>
      <c r="Q43" s="9" t="s">
        <v>38</v>
      </c>
      <c r="R43" s="6" t="s">
        <v>38</v>
      </c>
      <c r="S43" s="9" t="s">
        <v>38</v>
      </c>
      <c r="T43" s="6" t="s">
        <v>38</v>
      </c>
      <c r="U43" s="9" t="s">
        <v>38</v>
      </c>
      <c r="V43" s="6" t="s">
        <v>38</v>
      </c>
      <c r="W43" s="9" t="s">
        <v>38</v>
      </c>
      <c r="X43" s="6" t="s">
        <v>38</v>
      </c>
      <c r="Y43" s="9" t="s">
        <v>38</v>
      </c>
      <c r="Z43" s="6" t="s">
        <v>38</v>
      </c>
    </row>
    <row r="44" spans="1:26" x14ac:dyDescent="0.25">
      <c r="A44" s="15" t="s">
        <v>22</v>
      </c>
      <c r="B44" s="8">
        <v>11000</v>
      </c>
      <c r="C44" s="11">
        <v>11000</v>
      </c>
      <c r="D44" s="8">
        <v>11000</v>
      </c>
      <c r="E44" s="11">
        <v>11000</v>
      </c>
      <c r="F44" s="8">
        <v>11000</v>
      </c>
      <c r="G44" s="11">
        <v>11000</v>
      </c>
      <c r="H44" s="8">
        <v>11000</v>
      </c>
      <c r="I44" s="11">
        <v>11000</v>
      </c>
      <c r="J44" s="8">
        <v>11000</v>
      </c>
      <c r="K44" s="11">
        <v>11000</v>
      </c>
      <c r="L44" s="8">
        <v>11000</v>
      </c>
      <c r="M44" s="11">
        <v>11000</v>
      </c>
      <c r="N44" s="8">
        <v>11000</v>
      </c>
      <c r="O44" s="11">
        <v>11000</v>
      </c>
      <c r="P44" s="8">
        <v>11000</v>
      </c>
      <c r="Q44" s="11">
        <v>11000</v>
      </c>
      <c r="R44" s="8">
        <v>11000</v>
      </c>
      <c r="S44" s="11">
        <v>11000</v>
      </c>
      <c r="T44" s="8">
        <v>11000</v>
      </c>
      <c r="U44" s="11">
        <v>11000</v>
      </c>
      <c r="V44" s="8">
        <v>11000</v>
      </c>
      <c r="W44" s="11">
        <v>11000</v>
      </c>
      <c r="X44" s="8">
        <v>11000</v>
      </c>
      <c r="Y44" s="11">
        <v>11000</v>
      </c>
      <c r="Z44" s="8">
        <v>11000</v>
      </c>
    </row>
    <row r="45" spans="1:26" x14ac:dyDescent="0.25">
      <c r="A45" s="15" t="s">
        <v>23</v>
      </c>
      <c r="B45" s="6">
        <v>6001</v>
      </c>
      <c r="C45" s="9">
        <v>6001</v>
      </c>
      <c r="D45" s="6">
        <v>6001</v>
      </c>
      <c r="E45" s="9">
        <v>6001</v>
      </c>
      <c r="F45" s="6">
        <v>6001</v>
      </c>
      <c r="G45" s="9">
        <v>6001</v>
      </c>
      <c r="H45" s="6">
        <v>6001</v>
      </c>
      <c r="I45" s="9">
        <v>6001</v>
      </c>
      <c r="J45" s="6">
        <v>6001</v>
      </c>
      <c r="K45" s="9">
        <v>6001</v>
      </c>
      <c r="L45" s="6">
        <v>6001</v>
      </c>
      <c r="M45" s="9">
        <v>6001</v>
      </c>
      <c r="N45" s="6">
        <v>5999</v>
      </c>
      <c r="O45" s="9">
        <v>6001</v>
      </c>
      <c r="P45" s="6">
        <v>6001</v>
      </c>
      <c r="Q45" s="9">
        <v>6001</v>
      </c>
      <c r="R45" s="6">
        <v>6001</v>
      </c>
      <c r="S45" s="9">
        <v>6001</v>
      </c>
      <c r="T45" s="6">
        <v>6001</v>
      </c>
      <c r="U45" s="9">
        <v>6001</v>
      </c>
      <c r="V45" s="6">
        <v>6001</v>
      </c>
      <c r="W45" s="9">
        <v>6001</v>
      </c>
      <c r="X45" s="6">
        <v>6001</v>
      </c>
      <c r="Y45" s="9">
        <v>6001</v>
      </c>
      <c r="Z45" s="6">
        <v>5999</v>
      </c>
    </row>
    <row r="46" spans="1:26" x14ac:dyDescent="0.25">
      <c r="A46" s="15" t="s">
        <v>24</v>
      </c>
      <c r="B46" s="6" t="s">
        <v>61</v>
      </c>
      <c r="C46" s="9" t="s">
        <v>39</v>
      </c>
      <c r="D46" s="6" t="s">
        <v>39</v>
      </c>
      <c r="E46" s="9" t="s">
        <v>39</v>
      </c>
      <c r="F46" s="6" t="s">
        <v>39</v>
      </c>
      <c r="G46" s="9" t="s">
        <v>39</v>
      </c>
      <c r="H46" s="6" t="s">
        <v>61</v>
      </c>
      <c r="I46" s="9" t="s">
        <v>39</v>
      </c>
      <c r="J46" s="6" t="s">
        <v>39</v>
      </c>
      <c r="K46" s="9" t="s">
        <v>39</v>
      </c>
      <c r="L46" s="6" t="s">
        <v>39</v>
      </c>
      <c r="M46" s="9" t="s">
        <v>61</v>
      </c>
      <c r="N46" s="6" t="s">
        <v>39</v>
      </c>
      <c r="O46" s="9" t="s">
        <v>61</v>
      </c>
      <c r="P46" s="6" t="s">
        <v>39</v>
      </c>
      <c r="Q46" s="9" t="s">
        <v>39</v>
      </c>
      <c r="R46" s="6" t="s">
        <v>39</v>
      </c>
      <c r="S46" s="9" t="s">
        <v>39</v>
      </c>
      <c r="T46" s="6" t="s">
        <v>39</v>
      </c>
      <c r="U46" s="9" t="s">
        <v>61</v>
      </c>
      <c r="V46" s="6" t="s">
        <v>39</v>
      </c>
      <c r="W46" s="9" t="s">
        <v>39</v>
      </c>
      <c r="X46" s="6" t="s">
        <v>39</v>
      </c>
      <c r="Y46" s="9" t="s">
        <v>39</v>
      </c>
      <c r="Z46" s="6" t="s">
        <v>61</v>
      </c>
    </row>
    <row r="47" spans="1:26" x14ac:dyDescent="0.25">
      <c r="A47" s="15" t="s">
        <v>25</v>
      </c>
      <c r="B47" s="1"/>
      <c r="C47" s="1"/>
      <c r="D47" s="1"/>
      <c r="E47" s="1"/>
      <c r="F47" s="1"/>
      <c r="G47" s="1"/>
      <c r="H47" s="27"/>
      <c r="I47" s="1"/>
      <c r="J47" s="1"/>
      <c r="K47" s="1"/>
      <c r="L47" s="1"/>
      <c r="M47" s="1"/>
      <c r="N47" s="1"/>
      <c r="O47" s="27"/>
      <c r="P47" s="1"/>
      <c r="Q47" s="1"/>
      <c r="R47" s="1"/>
      <c r="S47" s="27"/>
      <c r="T47" s="1"/>
      <c r="U47" s="1"/>
      <c r="V47" s="1"/>
      <c r="W47" s="1"/>
      <c r="X47" s="1"/>
      <c r="Y47" s="1"/>
      <c r="Z47" s="1"/>
    </row>
    <row r="48" spans="1:26" x14ac:dyDescent="0.25">
      <c r="A48" s="20" t="s">
        <v>26</v>
      </c>
      <c r="B48" s="8">
        <v>2000</v>
      </c>
      <c r="C48" s="11">
        <v>2001</v>
      </c>
      <c r="D48" s="8">
        <v>2002</v>
      </c>
      <c r="E48" s="11">
        <v>2003</v>
      </c>
      <c r="F48" s="8" t="str">
        <f>"€" &amp; 2000*0.8</f>
        <v>€1600</v>
      </c>
      <c r="G48" s="11" t="str">
        <f>"€" &amp; 2000*0.8</f>
        <v>€1600</v>
      </c>
      <c r="H48" s="8" t="str">
        <f>"€" &amp; 2000</f>
        <v>€2000</v>
      </c>
      <c r="I48" s="11" t="str">
        <f>"€" &amp; 2000*0.8</f>
        <v>€1600</v>
      </c>
      <c r="J48" s="8" t="str">
        <f>"€" &amp; 2000*0.7</f>
        <v>€1400</v>
      </c>
      <c r="K48" s="11" t="str">
        <f>"€" &amp; 2000*0.6</f>
        <v>€1200</v>
      </c>
      <c r="L48" s="8" t="str">
        <f>"€" &amp; 2000*0.5</f>
        <v>€1000</v>
      </c>
      <c r="M48" s="11" t="str">
        <f>"€" &amp; 2000*0.4</f>
        <v>€800</v>
      </c>
      <c r="N48" s="8" t="str">
        <f>"€" &amp; 2000*0.45</f>
        <v>€900</v>
      </c>
      <c r="O48" s="11">
        <v>0</v>
      </c>
      <c r="P48" s="8">
        <v>0</v>
      </c>
      <c r="Q48" s="11">
        <v>0</v>
      </c>
      <c r="R48" s="8">
        <v>0</v>
      </c>
      <c r="S48" s="11">
        <v>0</v>
      </c>
      <c r="T48" s="8">
        <v>0</v>
      </c>
      <c r="U48" s="11">
        <v>0</v>
      </c>
      <c r="V48" s="8">
        <v>0</v>
      </c>
      <c r="W48" s="11">
        <v>0</v>
      </c>
      <c r="X48" s="8">
        <v>0</v>
      </c>
      <c r="Y48" s="11">
        <v>0</v>
      </c>
      <c r="Z48" s="8">
        <v>0</v>
      </c>
    </row>
    <row r="49" spans="1:26" x14ac:dyDescent="0.25">
      <c r="A49" s="20" t="s">
        <v>27</v>
      </c>
      <c r="B49" s="25">
        <f t="shared" ref="B49:B51" si="6">B48/12</f>
        <v>166.66666666666666</v>
      </c>
      <c r="C49" s="26">
        <f t="shared" ref="C49" si="7">C48/12</f>
        <v>166.75</v>
      </c>
      <c r="D49" s="25">
        <f t="shared" ref="D49" si="8">D48/12</f>
        <v>166.83333333333334</v>
      </c>
      <c r="E49" s="26">
        <f t="shared" ref="E49" si="9">E48/12</f>
        <v>166.91666666666666</v>
      </c>
      <c r="F49" s="25">
        <f t="shared" ref="F49" si="10">F48/12</f>
        <v>133.33333333333334</v>
      </c>
      <c r="G49" s="26">
        <f t="shared" ref="G49" si="11">G48/12</f>
        <v>133.33333333333334</v>
      </c>
      <c r="H49" s="25">
        <f t="shared" ref="H49" si="12">H48/12</f>
        <v>166.66666666666666</v>
      </c>
      <c r="I49" s="26">
        <f t="shared" ref="I49" si="13">I48/12</f>
        <v>133.33333333333334</v>
      </c>
      <c r="J49" s="25">
        <f t="shared" ref="J49" si="14">J48/12</f>
        <v>116.66666666666667</v>
      </c>
      <c r="K49" s="26">
        <f t="shared" ref="K49" si="15">K48/12</f>
        <v>100</v>
      </c>
      <c r="L49" s="25">
        <f t="shared" ref="L49" si="16">L48/12</f>
        <v>83.333333333333329</v>
      </c>
      <c r="M49" s="26">
        <f t="shared" ref="M49" si="17">M48/12</f>
        <v>66.666666666666671</v>
      </c>
      <c r="N49" s="25">
        <f>N48/12+5</f>
        <v>80</v>
      </c>
      <c r="O49" s="26">
        <v>0</v>
      </c>
      <c r="P49" s="25">
        <v>0</v>
      </c>
      <c r="Q49" s="26">
        <v>0</v>
      </c>
      <c r="R49" s="25">
        <v>0</v>
      </c>
      <c r="S49" s="26">
        <v>0</v>
      </c>
      <c r="T49" s="25">
        <v>0</v>
      </c>
      <c r="U49" s="26">
        <v>0</v>
      </c>
      <c r="V49" s="25">
        <v>0</v>
      </c>
      <c r="W49" s="26">
        <v>0</v>
      </c>
      <c r="X49" s="25">
        <v>0</v>
      </c>
      <c r="Y49" s="26">
        <v>0</v>
      </c>
      <c r="Z49" s="25">
        <v>0</v>
      </c>
    </row>
    <row r="50" spans="1:26" x14ac:dyDescent="0.25">
      <c r="A50" s="21" t="s">
        <v>28</v>
      </c>
      <c r="B50" s="8">
        <v>0</v>
      </c>
      <c r="C50" s="11">
        <v>0</v>
      </c>
      <c r="D50" s="8">
        <v>0</v>
      </c>
      <c r="E50" s="11">
        <v>0</v>
      </c>
      <c r="F50" s="8">
        <v>0</v>
      </c>
      <c r="G50" s="11">
        <v>0</v>
      </c>
      <c r="H50" s="8">
        <v>0</v>
      </c>
      <c r="I50" s="11">
        <v>0</v>
      </c>
      <c r="J50" s="8">
        <v>0</v>
      </c>
      <c r="K50" s="11">
        <v>0</v>
      </c>
      <c r="L50" s="8">
        <v>0</v>
      </c>
      <c r="M50" s="11">
        <v>0</v>
      </c>
      <c r="N50" s="8">
        <v>0</v>
      </c>
      <c r="O50" s="11">
        <v>1000</v>
      </c>
      <c r="P50" s="8">
        <v>1000</v>
      </c>
      <c r="Q50" s="11">
        <v>1000</v>
      </c>
      <c r="R50" s="8">
        <v>1000</v>
      </c>
      <c r="S50" s="11" t="str">
        <f>"€" &amp; 2000*0.8/2</f>
        <v>€800</v>
      </c>
      <c r="T50" s="8" t="str">
        <f>"€" &amp; 2000*0.8/2</f>
        <v>€800</v>
      </c>
      <c r="U50" s="11" t="str">
        <f>"€" &amp; 2000/2</f>
        <v>€1000</v>
      </c>
      <c r="V50" s="8" t="str">
        <f>"€" &amp; 2000*0.8/2</f>
        <v>€800</v>
      </c>
      <c r="W50" s="11" t="str">
        <f>"€" &amp; 2000*0.7/2</f>
        <v>€700</v>
      </c>
      <c r="X50" s="8" t="str">
        <f>"€" &amp; 2000*0.6/2</f>
        <v>€600</v>
      </c>
      <c r="Y50" s="11" t="str">
        <f>"€" &amp; 2000*0.5/2</f>
        <v>€500</v>
      </c>
      <c r="Z50" s="8" t="str">
        <f>"€" &amp; 2000/2</f>
        <v>€1000</v>
      </c>
    </row>
    <row r="51" spans="1:26" x14ac:dyDescent="0.25">
      <c r="A51" s="21" t="s">
        <v>29</v>
      </c>
      <c r="B51" s="25">
        <f t="shared" si="6"/>
        <v>0</v>
      </c>
      <c r="C51" s="26">
        <f t="shared" ref="C51" si="18">C50/12</f>
        <v>0</v>
      </c>
      <c r="D51" s="25">
        <f t="shared" ref="D51" si="19">D50/12</f>
        <v>0</v>
      </c>
      <c r="E51" s="26">
        <f t="shared" ref="E51" si="20">E50/12</f>
        <v>0</v>
      </c>
      <c r="F51" s="25">
        <f t="shared" ref="F51" si="21">F50/12</f>
        <v>0</v>
      </c>
      <c r="G51" s="26">
        <f t="shared" ref="G51" si="22">G50/12</f>
        <v>0</v>
      </c>
      <c r="H51" s="25">
        <f t="shared" ref="H51" si="23">H50/12</f>
        <v>0</v>
      </c>
      <c r="I51" s="26">
        <f t="shared" ref="I51" si="24">I50/12</f>
        <v>0</v>
      </c>
      <c r="J51" s="25">
        <f t="shared" ref="J51" si="25">J50/12</f>
        <v>0</v>
      </c>
      <c r="K51" s="26">
        <f t="shared" ref="K51" si="26">K50/12</f>
        <v>0</v>
      </c>
      <c r="L51" s="25">
        <f t="shared" ref="L51" si="27">L50/12</f>
        <v>0</v>
      </c>
      <c r="M51" s="26">
        <f t="shared" ref="M51" si="28">M50/12</f>
        <v>0</v>
      </c>
      <c r="N51" s="25">
        <f t="shared" ref="N51:Z51" si="29">N50/12</f>
        <v>0</v>
      </c>
      <c r="O51" s="26">
        <f t="shared" si="29"/>
        <v>83.333333333333329</v>
      </c>
      <c r="P51" s="25">
        <f t="shared" si="29"/>
        <v>83.333333333333329</v>
      </c>
      <c r="Q51" s="26">
        <f t="shared" si="29"/>
        <v>83.333333333333329</v>
      </c>
      <c r="R51" s="25">
        <f t="shared" si="29"/>
        <v>83.333333333333329</v>
      </c>
      <c r="S51" s="26">
        <f t="shared" si="29"/>
        <v>66.666666666666671</v>
      </c>
      <c r="T51" s="25">
        <f t="shared" si="29"/>
        <v>66.666666666666671</v>
      </c>
      <c r="U51" s="26">
        <f t="shared" si="29"/>
        <v>83.333333333333329</v>
      </c>
      <c r="V51" s="25">
        <f t="shared" si="29"/>
        <v>66.666666666666671</v>
      </c>
      <c r="W51" s="26">
        <f t="shared" si="29"/>
        <v>58.333333333333336</v>
      </c>
      <c r="X51" s="25">
        <f t="shared" si="29"/>
        <v>50</v>
      </c>
      <c r="Y51" s="26">
        <f t="shared" si="29"/>
        <v>41.666666666666664</v>
      </c>
      <c r="Z51" s="25">
        <f t="shared" si="29"/>
        <v>83.333333333333329</v>
      </c>
    </row>
  </sheetData>
  <pageMargins left="0.7" right="0.7" top="0.75" bottom="0.75" header="0.3" footer="0.3"/>
  <pageSetup paperSize="9" scale="60"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Test Data Excessive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1,TST</dc:creator>
  <cp:lastModifiedBy>1,TST</cp:lastModifiedBy>
  <cp:lastPrinted>2019-11-26T13:52:55Z</cp:lastPrinted>
  <dcterms:created xsi:type="dcterms:W3CDTF">2019-11-22T08:45:12Z</dcterms:created>
  <dcterms:modified xsi:type="dcterms:W3CDTF">2019-12-09T12:03:46Z</dcterms:modified>
</cp:coreProperties>
</file>